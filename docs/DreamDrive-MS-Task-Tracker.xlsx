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Tasks" sheetId="2" state="visible" r:id="rId2"/>
    <sheet name="Timeline" sheetId="3" state="visible" r:id="rId3"/>
    <sheet name="Backend" sheetId="4" state="visible" r:id="rId4"/>
    <sheet name="Frontend" sheetId="5" state="visible" r:id="rId5"/>
    <sheet name="Foundation" sheetId="6" state="visible" r:id="rId6"/>
    <sheet name="Auth" sheetId="7" state="visible" r:id="rId7"/>
    <sheet name="CMS" sheetId="8" state="visible" r:id="rId8"/>
    <sheet name="Dashboard" sheetId="9" state="visible" r:id="rId9"/>
    <sheet name="Search" sheetId="10" state="visible" r:id="rId10"/>
    <sheet name="Booking" sheetId="11" state="visible" r:id="rId11"/>
    <sheet name="Payments" sheetId="12" state="visible" r:id="rId12"/>
    <sheet name="Subscription" sheetId="13" state="visible" r:id="rId13"/>
    <sheet name="Airport" sheetId="14" state="visible" r:id="rId14"/>
    <sheet name="KYC" sheetId="15" state="visible" r:id="rId15"/>
    <sheet name="E-sign" sheetId="16" state="visible" r:id="rId16"/>
    <sheet name="Fleet" sheetId="17" state="visible" r:id="rId17"/>
    <sheet name="Workshop" sheetId="18" state="visible" r:id="rId18"/>
    <sheet name="Handover" sheetId="19" state="visible" r:id="rId19"/>
    <sheet name="Drivers" sheetId="20" state="visible" r:id="rId20"/>
    <sheet name="Partners" sheetId="21" state="visible" r:id="rId21"/>
    <sheet name="Admin" sheetId="22" state="visible" r:id="rId22"/>
    <sheet name="Finance" sheetId="23" state="visible" r:id="rId23"/>
    <sheet name="Offers" sheetId="24" state="visible" r:id="rId24"/>
    <sheet name="Reviews" sheetId="25" state="visible" r:id="rId25"/>
    <sheet name="Notify" sheetId="26" state="visible" r:id="rId26"/>
    <sheet name="CRM" sheetId="27" state="visible" r:id="rId27"/>
    <sheet name="Mobile" sheetId="28" state="visible" r:id="rId28"/>
  </sheets>
  <definedNames>
    <definedName name="_xlnm._FilterDatabase" localSheetId="1" hidden="1">'All Tasks'!$A$1:$H$120</definedName>
    <definedName name="_xlnm.Print_Titles" localSheetId="1">'All Tasks'!$1:$1</definedName>
    <definedName name="_xlnm.Print_Titles" localSheetId="2">'Timeline'!$1:$1</definedName>
    <definedName name="_xlnm.Print_Titles" localSheetId="3">'Backend'!$1:$1</definedName>
    <definedName name="_xlnm.Print_Titles" localSheetId="4">'Frontend'!$1:$1</definedName>
    <definedName name="_xlnm.Print_Titles" localSheetId="5">'Foundation'!$1:$1</definedName>
    <definedName name="_xlnm.Print_Titles" localSheetId="6">'Auth'!$1:$1</definedName>
    <definedName name="_xlnm.Print_Titles" localSheetId="7">'CMS'!$1:$1</definedName>
    <definedName name="_xlnm.Print_Titles" localSheetId="8">'Dashboard'!$1:$1</definedName>
    <definedName name="_xlnm.Print_Titles" localSheetId="9">'Search'!$1:$1</definedName>
    <definedName name="_xlnm.Print_Titles" localSheetId="10">'Booking'!$1:$1</definedName>
    <definedName name="_xlnm.Print_Titles" localSheetId="11">'Payments'!$1:$1</definedName>
    <definedName name="_xlnm.Print_Titles" localSheetId="12">'Subscription'!$1:$1</definedName>
    <definedName name="_xlnm.Print_Titles" localSheetId="13">'Airport'!$1:$1</definedName>
    <definedName name="_xlnm.Print_Titles" localSheetId="14">'KYC'!$1:$1</definedName>
    <definedName name="_xlnm.Print_Titles" localSheetId="15">'E-sign'!$1:$1</definedName>
    <definedName name="_xlnm.Print_Titles" localSheetId="16">'Fleet'!$1:$1</definedName>
    <definedName name="_xlnm.Print_Titles" localSheetId="17">'Workshop'!$1:$1</definedName>
    <definedName name="_xlnm.Print_Titles" localSheetId="18">'Handover'!$1:$1</definedName>
    <definedName name="_xlnm.Print_Titles" localSheetId="19">'Drivers'!$1:$1</definedName>
    <definedName name="_xlnm.Print_Titles" localSheetId="20">'Partners'!$1:$1</definedName>
    <definedName name="_xlnm.Print_Titles" localSheetId="21">'Admin'!$1:$1</definedName>
    <definedName name="_xlnm.Print_Titles" localSheetId="22">'Finance'!$1:$1</definedName>
    <definedName name="_xlnm.Print_Titles" localSheetId="23">'Offers'!$1:$1</definedName>
    <definedName name="_xlnm.Print_Titles" localSheetId="24">'Reviews'!$1:$1</definedName>
    <definedName name="_xlnm.Print_Titles" localSheetId="25">'Notify'!$1:$1</definedName>
    <definedName name="_xlnm.Print_Titles" localSheetId="26">'CRM'!$1:$1</definedName>
    <definedName name="_xlnm.Print_Titles" localSheetId="27">'Mobile'!$1:$1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2833"/>
      <sz val="11"/>
    </font>
    <font>
      <name val="Calibri"/>
      <b val="1"/>
      <color rgb="001A5276"/>
      <sz val="11"/>
    </font>
    <font>
      <name val="Calibri"/>
      <b val="1"/>
      <color rgb="00196F3D"/>
      <sz val="11"/>
    </font>
    <font>
      <name val="Calibri"/>
      <b val="1"/>
      <color rgb="007D6608"/>
      <sz val="11"/>
    </font>
    <font>
      <name val="Calibri"/>
      <color rgb="00595959"/>
      <sz val="11"/>
    </font>
    <font>
      <name val="Calibri"/>
      <b val="1"/>
      <color rgb="001B3A4B"/>
      <sz val="18"/>
    </font>
    <font>
      <name val="Calibri"/>
      <i val="1"/>
      <color rgb="005D6D7E"/>
      <sz val="10"/>
    </font>
    <font>
      <name val="Calibri"/>
      <b val="1"/>
      <color rgb="001A5276"/>
      <sz val="18"/>
    </font>
    <font>
      <name val="Calibri"/>
      <b val="1"/>
      <color rgb="00196F3D"/>
      <sz val="18"/>
    </font>
    <font>
      <name val="Calibri"/>
      <color rgb="005D6D7E"/>
      <sz val="10"/>
    </font>
    <font>
      <name val="Calibri"/>
      <b val="1"/>
      <color rgb="00595959"/>
      <sz val="18"/>
    </font>
    <font>
      <name val="Calibri"/>
      <b val="1"/>
      <color rgb="007D6608"/>
      <sz val="18"/>
    </font>
    <font>
      <name val="Calibri"/>
      <b val="1"/>
      <color rgb="001B3A4B"/>
      <sz val="13"/>
    </font>
    <font>
      <name val="Calibri"/>
      <b val="1"/>
      <color rgb="001B3A4B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4F7F8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EFEFEF"/>
      </patternFill>
    </fill>
    <fill>
      <patternFill patternType="solid">
        <fgColor rgb="00D4E6F1"/>
      </patternFill>
    </fill>
    <fill>
      <patternFill patternType="solid">
        <fgColor rgb="002A6F7F"/>
      </patternFill>
    </fill>
    <fill>
      <patternFill patternType="solid">
        <fgColor rgb="001A5276"/>
      </patternFill>
    </fill>
    <fill>
      <patternFill patternType="solid">
        <fgColor rgb="005DADE2"/>
      </patternFill>
    </fill>
    <fill>
      <patternFill patternType="solid">
        <fgColor rgb="00196F3D"/>
      </patternFill>
    </fill>
    <fill>
      <patternFill patternType="solid">
        <fgColor rgb="00595959"/>
      </patternFill>
    </fill>
    <fill>
      <patternFill patternType="solid">
        <fgColor rgb="007D660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0" fillId="10" borderId="1" pivotButton="0" quotePrefix="0" xfId="0"/>
    <xf numFmtId="0" fontId="1" fillId="14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0" fillId="12" borderId="1" pivotButton="0" quotePrefix="0" xfId="0"/>
    <xf numFmtId="0" fontId="17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7" borderId="1" pivotButton="0" quotePrefix="0" xfId="0"/>
    <xf numFmtId="0" fontId="2" fillId="6" borderId="1" pivotButton="0" quotePrefix="0" xfId="0"/>
    <xf numFmtId="0" fontId="2" fillId="5" borderId="1" pivotButton="0" quotePrefix="0" xfId="0"/>
  </cellXfs>
  <cellStyles count="1">
    <cellStyle name="Normal" xfId="0" builtinId="0" hidden="0"/>
  </cellStyles>
  <dxfs count="4">
    <dxf>
      <font>
        <name val="Calibri"/>
        <color rgb="00595959"/>
        <sz val="11"/>
      </font>
      <fill>
        <patternFill patternType="solid">
          <fgColor rgb="00EFEFEF"/>
        </patternFill>
      </fill>
    </dxf>
    <dxf>
      <font>
        <name val="Calibri"/>
        <b val="1"/>
        <color rgb="001A5276"/>
        <sz val="11"/>
      </font>
      <fill>
        <patternFill patternType="solid">
          <fgColor rgb="00D6EAF8"/>
        </patternFill>
      </fill>
    </dxf>
    <dxf>
      <font>
        <name val="Calibri"/>
        <b val="1"/>
        <color rgb="007D6608"/>
        <sz val="11"/>
      </font>
      <fill>
        <patternFill patternType="solid">
          <fgColor rgb="00FCF3CF"/>
        </patternFill>
      </fill>
    </dxf>
    <dxf>
      <font>
        <name val="Calibri"/>
        <b val="1"/>
        <color rgb="00196F3D"/>
        <sz val="11"/>
      </font>
      <fill>
        <patternFill patternType="solid">
          <f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ables/table1.xml><?xml version="1.0" encoding="utf-8"?>
<table xmlns="http://schemas.openxmlformats.org/spreadsheetml/2006/main" id="1" name="Tasks" displayName="Tasks" ref="A1:H120" headerRowCount="1">
  <autoFilter ref="A1:H120"/>
  <tableColumns count="8">
    <tableColumn id="1" name="ID"/>
    <tableColumn id="2" name="Layer"/>
    <tableColumn id="3" name="Module"/>
    <tableColumn id="4" name="Service"/>
    <tableColumn id="5" name="Task"/>
    <tableColumn id="6" name="Week"/>
    <tableColumn id="7" name="Week dates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2A6F7F"/>
    <outlinePr summaryBelow="1" summaryRight="1"/>
    <pageSetUpPr fitToPage="1"/>
  </sheetPr>
  <dimension ref="A1:I46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44" customWidth="1" min="7" max="7"/>
    <col width="14" customWidth="1" min="8" max="8"/>
    <col width="14" customWidth="1" min="9" max="9"/>
  </cols>
  <sheetData>
    <row r="1" ht="28" customHeight="1">
      <c r="A1" s="1" t="inlineStr">
        <is>
          <t>DreamDrive microservices — Backend / Frontend tracker</t>
        </is>
      </c>
    </row>
    <row r="2">
      <c r="A2" s="2" t="inlineStr">
        <is>
          <t>MVP 13 Aug – 9 Sep 2026  ·  Edit Status or Layer on All Tasks. Backend + Frontend sheets are 4-column boards.  ·  Current week: Week 1</t>
        </is>
      </c>
    </row>
    <row r="4" ht="30" customHeight="1">
      <c r="B4" s="3">
        <f>COUNTIF(Tasks[Layer],"Backend")</f>
        <v/>
      </c>
      <c r="D4" s="3">
        <f>COUNTIFS(Tasks[Layer],"Backend",Tasks[Status],"Completed")&amp;" done"</f>
        <v/>
      </c>
      <c r="F4" s="4">
        <f>COUNTIF(Tasks[Layer],"Frontend")</f>
        <v/>
      </c>
      <c r="H4" s="4">
        <f>COUNTIFS(Tasks[Layer],"Frontend",Tasks[Status],"Completed")&amp;" done"</f>
        <v/>
      </c>
    </row>
    <row r="5">
      <c r="B5" s="5" t="inlineStr">
        <is>
          <t>Backend tasks</t>
        </is>
      </c>
      <c r="D5" s="5" t="inlineStr">
        <is>
          <t>Backend completed</t>
        </is>
      </c>
      <c r="F5" s="5" t="inlineStr">
        <is>
          <t>Frontend tasks</t>
        </is>
      </c>
      <c r="H5" s="5" t="inlineStr">
        <is>
          <t>Frontend completed</t>
        </is>
      </c>
    </row>
    <row r="7" ht="30" customHeight="1">
      <c r="B7" s="6">
        <f>COUNTIF(Tasks[Status],"Not started")</f>
        <v/>
      </c>
      <c r="D7" s="3">
        <f>COUNTIF(Tasks[Status],"In progress")</f>
        <v/>
      </c>
      <c r="F7" s="7">
        <f>COUNTIF(Tasks[Status],"Under review")</f>
        <v/>
      </c>
      <c r="H7" s="4">
        <f>COUNTIF(Tasks[Status],"Completed")</f>
        <v/>
      </c>
    </row>
    <row r="8">
      <c r="B8" s="5" t="inlineStr">
        <is>
          <t>Not started</t>
        </is>
      </c>
      <c r="D8" s="5" t="inlineStr">
        <is>
          <t>In progress</t>
        </is>
      </c>
      <c r="F8" s="5" t="inlineStr">
        <is>
          <t>Under review</t>
        </is>
      </c>
      <c r="H8" s="5" t="inlineStr">
        <is>
          <t>Completed</t>
        </is>
      </c>
    </row>
    <row r="10">
      <c r="A10" s="8" t="inlineStr">
        <is>
          <t>Backend vs Frontend by week</t>
        </is>
      </c>
    </row>
    <row r="11">
      <c r="A11" s="9" t="inlineStr">
        <is>
          <t>Week</t>
        </is>
      </c>
      <c r="B11" s="9" t="inlineStr">
        <is>
          <t>Dates</t>
        </is>
      </c>
      <c r="C11" s="9" t="inlineStr">
        <is>
          <t>BE tasks</t>
        </is>
      </c>
      <c r="D11" s="9" t="inlineStr">
        <is>
          <t>BE done</t>
        </is>
      </c>
      <c r="E11" s="9" t="inlineStr">
        <is>
          <t>FE tasks</t>
        </is>
      </c>
      <c r="F11" s="9" t="inlineStr">
        <is>
          <t>FE done</t>
        </is>
      </c>
      <c r="G11" s="9" t="inlineStr">
        <is>
          <t>Ships</t>
        </is>
      </c>
    </row>
    <row r="12" ht="26" customHeight="1">
      <c r="A12" s="10" t="inlineStr">
        <is>
          <t>Week 1</t>
        </is>
      </c>
      <c r="B12" s="11" t="inlineStr">
        <is>
          <t>13–19 Aug 2026</t>
        </is>
      </c>
      <c r="C12" s="12">
        <f>COUNTIFS(Tasks[Week],A12,Tasks[Layer],"Backend")</f>
        <v/>
      </c>
      <c r="D12" s="12">
        <f>COUNTIFS(Tasks[Week],A12,Tasks[Layer],"Backend",Tasks[Status],"Completed")</f>
        <v/>
      </c>
      <c r="E12" s="12">
        <f>COUNTIFS(Tasks[Week],A12,Tasks[Layer],"Frontend")</f>
        <v/>
      </c>
      <c r="F12" s="12">
        <f>COUNTIFS(Tasks[Week],A12,Tasks[Layer],"Frontend",Tasks[Status],"Completed")</f>
        <v/>
      </c>
      <c r="G12" s="11" t="inlineStr">
        <is>
          <t>Auth, cities, car models, admin login</t>
        </is>
      </c>
    </row>
    <row r="13" ht="26" customHeight="1">
      <c r="A13" s="13" t="inlineStr">
        <is>
          <t>Week 2</t>
        </is>
      </c>
      <c r="B13" s="14" t="inlineStr">
        <is>
          <t>20–26 Aug 2026</t>
        </is>
      </c>
      <c r="C13" s="15">
        <f>COUNTIFS(Tasks[Week],A13,Tasks[Layer],"Backend")</f>
        <v/>
      </c>
      <c r="D13" s="15">
        <f>COUNTIFS(Tasks[Week],A13,Tasks[Layer],"Backend",Tasks[Status],"Completed")</f>
        <v/>
      </c>
      <c r="E13" s="15">
        <f>COUNTIFS(Tasks[Week],A13,Tasks[Layer],"Frontend")</f>
        <v/>
      </c>
      <c r="F13" s="15">
        <f>COUNTIFS(Tasks[Week],A13,Tasks[Layer],"Frontend",Tasks[Status],"Completed")</f>
        <v/>
      </c>
      <c r="G13" s="14" t="inlineStr">
        <is>
          <t>Availability, HOLD, Razorpay token</t>
        </is>
      </c>
    </row>
    <row r="14" ht="26" customHeight="1">
      <c r="A14" s="13" t="inlineStr">
        <is>
          <t>Week 3</t>
        </is>
      </c>
      <c r="B14" s="14" t="inlineStr">
        <is>
          <t>27 Aug–2 Sep 2026</t>
        </is>
      </c>
      <c r="C14" s="15">
        <f>COUNTIFS(Tasks[Week],A14,Tasks[Layer],"Backend")</f>
        <v/>
      </c>
      <c r="D14" s="15">
        <f>COUNTIFS(Tasks[Week],A14,Tasks[Layer],"Backend",Tasks[Status],"Completed")</f>
        <v/>
      </c>
      <c r="E14" s="15">
        <f>COUNTIFS(Tasks[Week],A14,Tasks[Layer],"Frontend")</f>
        <v/>
      </c>
      <c r="F14" s="15">
        <f>COUNTIFS(Tasks[Week],A14,Tasks[Layer],"Frontend",Tasks[Status],"Completed")</f>
        <v/>
      </c>
      <c r="G14" s="14" t="inlineStr">
        <is>
          <t>KYC, Zoho, Leegality, confirm email</t>
        </is>
      </c>
    </row>
    <row r="15" ht="26" customHeight="1">
      <c r="A15" s="13" t="inlineStr">
        <is>
          <t>Week 4</t>
        </is>
      </c>
      <c r="B15" s="14" t="inlineStr">
        <is>
          <t>3–9 Sep 2026</t>
        </is>
      </c>
      <c r="C15" s="15">
        <f>COUNTIFS(Tasks[Week],A15,Tasks[Layer],"Backend")</f>
        <v/>
      </c>
      <c r="D15" s="15">
        <f>COUNTIFS(Tasks[Week],A15,Tasks[Layer],"Backend",Tasks[Status],"Completed")</f>
        <v/>
      </c>
      <c r="E15" s="15">
        <f>COUNTIFS(Tasks[Week],A15,Tasks[Layer],"Frontend")</f>
        <v/>
      </c>
      <c r="F15" s="15">
        <f>COUNTIFS(Tasks[Week],A15,Tasks[Layer],"Frontend",Tasks[Status],"Completed")</f>
        <v/>
      </c>
      <c r="G15" s="14" t="inlineStr">
        <is>
          <t>Handover, drivers, CMS, staging demo</t>
        </is>
      </c>
    </row>
    <row r="16" ht="26" customHeight="1">
      <c r="A16" s="13" t="inlineStr">
        <is>
          <t>Later</t>
        </is>
      </c>
      <c r="B16" s="14" t="inlineStr">
        <is>
          <t>After 9 Sep 2026</t>
        </is>
      </c>
      <c r="C16" s="15">
        <f>COUNTIFS(Tasks[Week],A16,Tasks[Layer],"Backend")</f>
        <v/>
      </c>
      <c r="D16" s="15">
        <f>COUNTIFS(Tasks[Week],A16,Tasks[Layer],"Backend",Tasks[Status],"Completed")</f>
        <v/>
      </c>
      <c r="E16" s="15">
        <f>COUNTIFS(Tasks[Week],A16,Tasks[Layer],"Frontend")</f>
        <v/>
      </c>
      <c r="F16" s="15">
        <f>COUNTIFS(Tasks[Week],A16,Tasks[Layer],"Frontend",Tasks[Status],"Completed")</f>
        <v/>
      </c>
      <c r="G16" s="14" t="inlineStr">
        <is>
          <t>Subscription, workshop, partners, wallet, GST, mobile</t>
        </is>
      </c>
    </row>
    <row r="18">
      <c r="A18" s="8" t="inlineStr">
        <is>
          <t>Status by module (Backend / Frontend)</t>
        </is>
      </c>
    </row>
    <row r="19">
      <c r="A19" s="16" t="inlineStr">
        <is>
          <t>Module</t>
        </is>
      </c>
      <c r="B19" s="16" t="inlineStr">
        <is>
          <t>BE</t>
        </is>
      </c>
      <c r="C19" s="16" t="inlineStr">
        <is>
          <t>BE done</t>
        </is>
      </c>
      <c r="D19" s="16" t="inlineStr">
        <is>
          <t>FE</t>
        </is>
      </c>
      <c r="E19" s="16" t="inlineStr">
        <is>
          <t>FE done</t>
        </is>
      </c>
      <c r="F19" s="16" t="inlineStr">
        <is>
          <t>Not started</t>
        </is>
      </c>
      <c r="G19" s="16" t="inlineStr">
        <is>
          <t>In progress</t>
        </is>
      </c>
      <c r="H19" s="16" t="inlineStr">
        <is>
          <t>Under review</t>
        </is>
      </c>
      <c r="I19" s="16" t="inlineStr">
        <is>
          <t>Completed</t>
        </is>
      </c>
    </row>
    <row r="20">
      <c r="A20" s="17" t="inlineStr">
        <is>
          <t>Foundation</t>
        </is>
      </c>
      <c r="B20" s="18">
        <f>COUNTIFS(Tasks[Module],A20,Tasks[Layer],"Backend")</f>
        <v/>
      </c>
      <c r="C20" s="18">
        <f>COUNTIFS(Tasks[Module],A20,Tasks[Layer],"Backend",Tasks[Status],"Completed")</f>
        <v/>
      </c>
      <c r="D20" s="18">
        <f>COUNTIFS(Tasks[Module],A20,Tasks[Layer],"Frontend")</f>
        <v/>
      </c>
      <c r="E20" s="18">
        <f>COUNTIFS(Tasks[Module],A20,Tasks[Layer],"Frontend",Tasks[Status],"Completed")</f>
        <v/>
      </c>
      <c r="F20" s="18">
        <f>COUNTIFS(Tasks[Module],A20,Tasks[Status],"Not started")</f>
        <v/>
      </c>
      <c r="G20" s="18">
        <f>COUNTIFS(Tasks[Module],A20,Tasks[Status],"In progress")</f>
        <v/>
      </c>
      <c r="H20" s="18">
        <f>COUNTIFS(Tasks[Module],A20,Tasks[Status],"Under review")</f>
        <v/>
      </c>
      <c r="I20" s="18">
        <f>COUNTIFS(Tasks[Module],A20,Tasks[Status],"Completed")</f>
        <v/>
      </c>
    </row>
    <row r="21">
      <c r="A21" s="14" t="inlineStr">
        <is>
          <t>Auth</t>
        </is>
      </c>
      <c r="B21" s="15">
        <f>COUNTIFS(Tasks[Module],A21,Tasks[Layer],"Backend")</f>
        <v/>
      </c>
      <c r="C21" s="15">
        <f>COUNTIFS(Tasks[Module],A21,Tasks[Layer],"Backend",Tasks[Status],"Completed")</f>
        <v/>
      </c>
      <c r="D21" s="15">
        <f>COUNTIFS(Tasks[Module],A21,Tasks[Layer],"Frontend")</f>
        <v/>
      </c>
      <c r="E21" s="15">
        <f>COUNTIFS(Tasks[Module],A21,Tasks[Layer],"Frontend",Tasks[Status],"Completed")</f>
        <v/>
      </c>
      <c r="F21" s="15">
        <f>COUNTIFS(Tasks[Module],A21,Tasks[Status],"Not started")</f>
        <v/>
      </c>
      <c r="G21" s="15">
        <f>COUNTIFS(Tasks[Module],A21,Tasks[Status],"In progress")</f>
        <v/>
      </c>
      <c r="H21" s="15">
        <f>COUNTIFS(Tasks[Module],A21,Tasks[Status],"Under review")</f>
        <v/>
      </c>
      <c r="I21" s="15">
        <f>COUNTIFS(Tasks[Module],A21,Tasks[Status],"Completed")</f>
        <v/>
      </c>
    </row>
    <row r="22">
      <c r="A22" s="17" t="inlineStr">
        <is>
          <t>CMS</t>
        </is>
      </c>
      <c r="B22" s="18">
        <f>COUNTIFS(Tasks[Module],A22,Tasks[Layer],"Backend")</f>
        <v/>
      </c>
      <c r="C22" s="18">
        <f>COUNTIFS(Tasks[Module],A22,Tasks[Layer],"Backend",Tasks[Status],"Completed")</f>
        <v/>
      </c>
      <c r="D22" s="18">
        <f>COUNTIFS(Tasks[Module],A22,Tasks[Layer],"Frontend")</f>
        <v/>
      </c>
      <c r="E22" s="18">
        <f>COUNTIFS(Tasks[Module],A22,Tasks[Layer],"Frontend",Tasks[Status],"Completed")</f>
        <v/>
      </c>
      <c r="F22" s="18">
        <f>COUNTIFS(Tasks[Module],A22,Tasks[Status],"Not started")</f>
        <v/>
      </c>
      <c r="G22" s="18">
        <f>COUNTIFS(Tasks[Module],A22,Tasks[Status],"In progress")</f>
        <v/>
      </c>
      <c r="H22" s="18">
        <f>COUNTIFS(Tasks[Module],A22,Tasks[Status],"Under review")</f>
        <v/>
      </c>
      <c r="I22" s="18">
        <f>COUNTIFS(Tasks[Module],A22,Tasks[Status],"Completed")</f>
        <v/>
      </c>
    </row>
    <row r="23">
      <c r="A23" s="14" t="inlineStr">
        <is>
          <t>Dashboard</t>
        </is>
      </c>
      <c r="B23" s="15">
        <f>COUNTIFS(Tasks[Module],A23,Tasks[Layer],"Backend")</f>
        <v/>
      </c>
      <c r="C23" s="15">
        <f>COUNTIFS(Tasks[Module],A23,Tasks[Layer],"Backend",Tasks[Status],"Completed")</f>
        <v/>
      </c>
      <c r="D23" s="15">
        <f>COUNTIFS(Tasks[Module],A23,Tasks[Layer],"Frontend")</f>
        <v/>
      </c>
      <c r="E23" s="15">
        <f>COUNTIFS(Tasks[Module],A23,Tasks[Layer],"Frontend",Tasks[Status],"Completed")</f>
        <v/>
      </c>
      <c r="F23" s="15">
        <f>COUNTIFS(Tasks[Module],A23,Tasks[Status],"Not started")</f>
        <v/>
      </c>
      <c r="G23" s="15">
        <f>COUNTIFS(Tasks[Module],A23,Tasks[Status],"In progress")</f>
        <v/>
      </c>
      <c r="H23" s="15">
        <f>COUNTIFS(Tasks[Module],A23,Tasks[Status],"Under review")</f>
        <v/>
      </c>
      <c r="I23" s="15">
        <f>COUNTIFS(Tasks[Module],A23,Tasks[Status],"Completed")</f>
        <v/>
      </c>
    </row>
    <row r="24">
      <c r="A24" s="17" t="inlineStr">
        <is>
          <t>Search</t>
        </is>
      </c>
      <c r="B24" s="18">
        <f>COUNTIFS(Tasks[Module],A24,Tasks[Layer],"Backend")</f>
        <v/>
      </c>
      <c r="C24" s="18">
        <f>COUNTIFS(Tasks[Module],A24,Tasks[Layer],"Backend",Tasks[Status],"Completed")</f>
        <v/>
      </c>
      <c r="D24" s="18">
        <f>COUNTIFS(Tasks[Module],A24,Tasks[Layer],"Frontend")</f>
        <v/>
      </c>
      <c r="E24" s="18">
        <f>COUNTIFS(Tasks[Module],A24,Tasks[Layer],"Frontend",Tasks[Status],"Completed")</f>
        <v/>
      </c>
      <c r="F24" s="18">
        <f>COUNTIFS(Tasks[Module],A24,Tasks[Status],"Not started")</f>
        <v/>
      </c>
      <c r="G24" s="18">
        <f>COUNTIFS(Tasks[Module],A24,Tasks[Status],"In progress")</f>
        <v/>
      </c>
      <c r="H24" s="18">
        <f>COUNTIFS(Tasks[Module],A24,Tasks[Status],"Under review")</f>
        <v/>
      </c>
      <c r="I24" s="18">
        <f>COUNTIFS(Tasks[Module],A24,Tasks[Status],"Completed")</f>
        <v/>
      </c>
    </row>
    <row r="25">
      <c r="A25" s="14" t="inlineStr">
        <is>
          <t>Booking</t>
        </is>
      </c>
      <c r="B25" s="15">
        <f>COUNTIFS(Tasks[Module],A25,Tasks[Layer],"Backend")</f>
        <v/>
      </c>
      <c r="C25" s="15">
        <f>COUNTIFS(Tasks[Module],A25,Tasks[Layer],"Backend",Tasks[Status],"Completed")</f>
        <v/>
      </c>
      <c r="D25" s="15">
        <f>COUNTIFS(Tasks[Module],A25,Tasks[Layer],"Frontend")</f>
        <v/>
      </c>
      <c r="E25" s="15">
        <f>COUNTIFS(Tasks[Module],A25,Tasks[Layer],"Frontend",Tasks[Status],"Completed")</f>
        <v/>
      </c>
      <c r="F25" s="15">
        <f>COUNTIFS(Tasks[Module],A25,Tasks[Status],"Not started")</f>
        <v/>
      </c>
      <c r="G25" s="15">
        <f>COUNTIFS(Tasks[Module],A25,Tasks[Status],"In progress")</f>
        <v/>
      </c>
      <c r="H25" s="15">
        <f>COUNTIFS(Tasks[Module],A25,Tasks[Status],"Under review")</f>
        <v/>
      </c>
      <c r="I25" s="15">
        <f>COUNTIFS(Tasks[Module],A25,Tasks[Status],"Completed")</f>
        <v/>
      </c>
    </row>
    <row r="26">
      <c r="A26" s="17" t="inlineStr">
        <is>
          <t>Payments</t>
        </is>
      </c>
      <c r="B26" s="18">
        <f>COUNTIFS(Tasks[Module],A26,Tasks[Layer],"Backend")</f>
        <v/>
      </c>
      <c r="C26" s="18">
        <f>COUNTIFS(Tasks[Module],A26,Tasks[Layer],"Backend",Tasks[Status],"Completed")</f>
        <v/>
      </c>
      <c r="D26" s="18">
        <f>COUNTIFS(Tasks[Module],A26,Tasks[Layer],"Frontend")</f>
        <v/>
      </c>
      <c r="E26" s="18">
        <f>COUNTIFS(Tasks[Module],A26,Tasks[Layer],"Frontend",Tasks[Status],"Completed")</f>
        <v/>
      </c>
      <c r="F26" s="18">
        <f>COUNTIFS(Tasks[Module],A26,Tasks[Status],"Not started")</f>
        <v/>
      </c>
      <c r="G26" s="18">
        <f>COUNTIFS(Tasks[Module],A26,Tasks[Status],"In progress")</f>
        <v/>
      </c>
      <c r="H26" s="18">
        <f>COUNTIFS(Tasks[Module],A26,Tasks[Status],"Under review")</f>
        <v/>
      </c>
      <c r="I26" s="18">
        <f>COUNTIFS(Tasks[Module],A26,Tasks[Status],"Completed")</f>
        <v/>
      </c>
    </row>
    <row r="27">
      <c r="A27" s="14" t="inlineStr">
        <is>
          <t>Subscription</t>
        </is>
      </c>
      <c r="B27" s="15">
        <f>COUNTIFS(Tasks[Module],A27,Tasks[Layer],"Backend")</f>
        <v/>
      </c>
      <c r="C27" s="15">
        <f>COUNTIFS(Tasks[Module],A27,Tasks[Layer],"Backend",Tasks[Status],"Completed")</f>
        <v/>
      </c>
      <c r="D27" s="15">
        <f>COUNTIFS(Tasks[Module],A27,Tasks[Layer],"Frontend")</f>
        <v/>
      </c>
      <c r="E27" s="15">
        <f>COUNTIFS(Tasks[Module],A27,Tasks[Layer],"Frontend",Tasks[Status],"Completed")</f>
        <v/>
      </c>
      <c r="F27" s="15">
        <f>COUNTIFS(Tasks[Module],A27,Tasks[Status],"Not started")</f>
        <v/>
      </c>
      <c r="G27" s="15">
        <f>COUNTIFS(Tasks[Module],A27,Tasks[Status],"In progress")</f>
        <v/>
      </c>
      <c r="H27" s="15">
        <f>COUNTIFS(Tasks[Module],A27,Tasks[Status],"Under review")</f>
        <v/>
      </c>
      <c r="I27" s="15">
        <f>COUNTIFS(Tasks[Module],A27,Tasks[Status],"Completed")</f>
        <v/>
      </c>
    </row>
    <row r="28">
      <c r="A28" s="17" t="inlineStr">
        <is>
          <t>Airport</t>
        </is>
      </c>
      <c r="B28" s="18">
        <f>COUNTIFS(Tasks[Module],A28,Tasks[Layer],"Backend")</f>
        <v/>
      </c>
      <c r="C28" s="18">
        <f>COUNTIFS(Tasks[Module],A28,Tasks[Layer],"Backend",Tasks[Status],"Completed")</f>
        <v/>
      </c>
      <c r="D28" s="18">
        <f>COUNTIFS(Tasks[Module],A28,Tasks[Layer],"Frontend")</f>
        <v/>
      </c>
      <c r="E28" s="18">
        <f>COUNTIFS(Tasks[Module],A28,Tasks[Layer],"Frontend",Tasks[Status],"Completed")</f>
        <v/>
      </c>
      <c r="F28" s="18">
        <f>COUNTIFS(Tasks[Module],A28,Tasks[Status],"Not started")</f>
        <v/>
      </c>
      <c r="G28" s="18">
        <f>COUNTIFS(Tasks[Module],A28,Tasks[Status],"In progress")</f>
        <v/>
      </c>
      <c r="H28" s="18">
        <f>COUNTIFS(Tasks[Module],A28,Tasks[Status],"Under review")</f>
        <v/>
      </c>
      <c r="I28" s="18">
        <f>COUNTIFS(Tasks[Module],A28,Tasks[Status],"Completed")</f>
        <v/>
      </c>
    </row>
    <row r="29">
      <c r="A29" s="14" t="inlineStr">
        <is>
          <t>KYC</t>
        </is>
      </c>
      <c r="B29" s="15">
        <f>COUNTIFS(Tasks[Module],A29,Tasks[Layer],"Backend")</f>
        <v/>
      </c>
      <c r="C29" s="15">
        <f>COUNTIFS(Tasks[Module],A29,Tasks[Layer],"Backend",Tasks[Status],"Completed")</f>
        <v/>
      </c>
      <c r="D29" s="15">
        <f>COUNTIFS(Tasks[Module],A29,Tasks[Layer],"Frontend")</f>
        <v/>
      </c>
      <c r="E29" s="15">
        <f>COUNTIFS(Tasks[Module],A29,Tasks[Layer],"Frontend",Tasks[Status],"Completed")</f>
        <v/>
      </c>
      <c r="F29" s="15">
        <f>COUNTIFS(Tasks[Module],A29,Tasks[Status],"Not started")</f>
        <v/>
      </c>
      <c r="G29" s="15">
        <f>COUNTIFS(Tasks[Module],A29,Tasks[Status],"In progress")</f>
        <v/>
      </c>
      <c r="H29" s="15">
        <f>COUNTIFS(Tasks[Module],A29,Tasks[Status],"Under review")</f>
        <v/>
      </c>
      <c r="I29" s="15">
        <f>COUNTIFS(Tasks[Module],A29,Tasks[Status],"Completed")</f>
        <v/>
      </c>
    </row>
    <row r="30">
      <c r="A30" s="17" t="inlineStr">
        <is>
          <t>E-sign</t>
        </is>
      </c>
      <c r="B30" s="18">
        <f>COUNTIFS(Tasks[Module],A30,Tasks[Layer],"Backend")</f>
        <v/>
      </c>
      <c r="C30" s="18">
        <f>COUNTIFS(Tasks[Module],A30,Tasks[Layer],"Backend",Tasks[Status],"Completed")</f>
        <v/>
      </c>
      <c r="D30" s="18">
        <f>COUNTIFS(Tasks[Module],A30,Tasks[Layer],"Frontend")</f>
        <v/>
      </c>
      <c r="E30" s="18">
        <f>COUNTIFS(Tasks[Module],A30,Tasks[Layer],"Frontend",Tasks[Status],"Completed")</f>
        <v/>
      </c>
      <c r="F30" s="18">
        <f>COUNTIFS(Tasks[Module],A30,Tasks[Status],"Not started")</f>
        <v/>
      </c>
      <c r="G30" s="18">
        <f>COUNTIFS(Tasks[Module],A30,Tasks[Status],"In progress")</f>
        <v/>
      </c>
      <c r="H30" s="18">
        <f>COUNTIFS(Tasks[Module],A30,Tasks[Status],"Under review")</f>
        <v/>
      </c>
      <c r="I30" s="18">
        <f>COUNTIFS(Tasks[Module],A30,Tasks[Status],"Completed")</f>
        <v/>
      </c>
    </row>
    <row r="31">
      <c r="A31" s="14" t="inlineStr">
        <is>
          <t>Fleet</t>
        </is>
      </c>
      <c r="B31" s="15">
        <f>COUNTIFS(Tasks[Module],A31,Tasks[Layer],"Backend")</f>
        <v/>
      </c>
      <c r="C31" s="15">
        <f>COUNTIFS(Tasks[Module],A31,Tasks[Layer],"Backend",Tasks[Status],"Completed")</f>
        <v/>
      </c>
      <c r="D31" s="15">
        <f>COUNTIFS(Tasks[Module],A31,Tasks[Layer],"Frontend")</f>
        <v/>
      </c>
      <c r="E31" s="15">
        <f>COUNTIFS(Tasks[Module],A31,Tasks[Layer],"Frontend",Tasks[Status],"Completed")</f>
        <v/>
      </c>
      <c r="F31" s="15">
        <f>COUNTIFS(Tasks[Module],A31,Tasks[Status],"Not started")</f>
        <v/>
      </c>
      <c r="G31" s="15">
        <f>COUNTIFS(Tasks[Module],A31,Tasks[Status],"In progress")</f>
        <v/>
      </c>
      <c r="H31" s="15">
        <f>COUNTIFS(Tasks[Module],A31,Tasks[Status],"Under review")</f>
        <v/>
      </c>
      <c r="I31" s="15">
        <f>COUNTIFS(Tasks[Module],A31,Tasks[Status],"Completed")</f>
        <v/>
      </c>
    </row>
    <row r="32">
      <c r="A32" s="17" t="inlineStr">
        <is>
          <t>Workshop</t>
        </is>
      </c>
      <c r="B32" s="18">
        <f>COUNTIFS(Tasks[Module],A32,Tasks[Layer],"Backend")</f>
        <v/>
      </c>
      <c r="C32" s="18">
        <f>COUNTIFS(Tasks[Module],A32,Tasks[Layer],"Backend",Tasks[Status],"Completed")</f>
        <v/>
      </c>
      <c r="D32" s="18">
        <f>COUNTIFS(Tasks[Module],A32,Tasks[Layer],"Frontend")</f>
        <v/>
      </c>
      <c r="E32" s="18">
        <f>COUNTIFS(Tasks[Module],A32,Tasks[Layer],"Frontend",Tasks[Status],"Completed")</f>
        <v/>
      </c>
      <c r="F32" s="18">
        <f>COUNTIFS(Tasks[Module],A32,Tasks[Status],"Not started")</f>
        <v/>
      </c>
      <c r="G32" s="18">
        <f>COUNTIFS(Tasks[Module],A32,Tasks[Status],"In progress")</f>
        <v/>
      </c>
      <c r="H32" s="18">
        <f>COUNTIFS(Tasks[Module],A32,Tasks[Status],"Under review")</f>
        <v/>
      </c>
      <c r="I32" s="18">
        <f>COUNTIFS(Tasks[Module],A32,Tasks[Status],"Completed")</f>
        <v/>
      </c>
    </row>
    <row r="33">
      <c r="A33" s="14" t="inlineStr">
        <is>
          <t>Handover</t>
        </is>
      </c>
      <c r="B33" s="15">
        <f>COUNTIFS(Tasks[Module],A33,Tasks[Layer],"Backend")</f>
        <v/>
      </c>
      <c r="C33" s="15">
        <f>COUNTIFS(Tasks[Module],A33,Tasks[Layer],"Backend",Tasks[Status],"Completed")</f>
        <v/>
      </c>
      <c r="D33" s="15">
        <f>COUNTIFS(Tasks[Module],A33,Tasks[Layer],"Frontend")</f>
        <v/>
      </c>
      <c r="E33" s="15">
        <f>COUNTIFS(Tasks[Module],A33,Tasks[Layer],"Frontend",Tasks[Status],"Completed")</f>
        <v/>
      </c>
      <c r="F33" s="15">
        <f>COUNTIFS(Tasks[Module],A33,Tasks[Status],"Not started")</f>
        <v/>
      </c>
      <c r="G33" s="15">
        <f>COUNTIFS(Tasks[Module],A33,Tasks[Status],"In progress")</f>
        <v/>
      </c>
      <c r="H33" s="15">
        <f>COUNTIFS(Tasks[Module],A33,Tasks[Status],"Under review")</f>
        <v/>
      </c>
      <c r="I33" s="15">
        <f>COUNTIFS(Tasks[Module],A33,Tasks[Status],"Completed")</f>
        <v/>
      </c>
    </row>
    <row r="34">
      <c r="A34" s="17" t="inlineStr">
        <is>
          <t>Drivers</t>
        </is>
      </c>
      <c r="B34" s="18">
        <f>COUNTIFS(Tasks[Module],A34,Tasks[Layer],"Backend")</f>
        <v/>
      </c>
      <c r="C34" s="18">
        <f>COUNTIFS(Tasks[Module],A34,Tasks[Layer],"Backend",Tasks[Status],"Completed")</f>
        <v/>
      </c>
      <c r="D34" s="18">
        <f>COUNTIFS(Tasks[Module],A34,Tasks[Layer],"Frontend")</f>
        <v/>
      </c>
      <c r="E34" s="18">
        <f>COUNTIFS(Tasks[Module],A34,Tasks[Layer],"Frontend",Tasks[Status],"Completed")</f>
        <v/>
      </c>
      <c r="F34" s="18">
        <f>COUNTIFS(Tasks[Module],A34,Tasks[Status],"Not started")</f>
        <v/>
      </c>
      <c r="G34" s="18">
        <f>COUNTIFS(Tasks[Module],A34,Tasks[Status],"In progress")</f>
        <v/>
      </c>
      <c r="H34" s="18">
        <f>COUNTIFS(Tasks[Module],A34,Tasks[Status],"Under review")</f>
        <v/>
      </c>
      <c r="I34" s="18">
        <f>COUNTIFS(Tasks[Module],A34,Tasks[Status],"Completed")</f>
        <v/>
      </c>
    </row>
    <row r="35">
      <c r="A35" s="14" t="inlineStr">
        <is>
          <t>Partners</t>
        </is>
      </c>
      <c r="B35" s="15">
        <f>COUNTIFS(Tasks[Module],A35,Tasks[Layer],"Backend")</f>
        <v/>
      </c>
      <c r="C35" s="15">
        <f>COUNTIFS(Tasks[Module],A35,Tasks[Layer],"Backend",Tasks[Status],"Completed")</f>
        <v/>
      </c>
      <c r="D35" s="15">
        <f>COUNTIFS(Tasks[Module],A35,Tasks[Layer],"Frontend")</f>
        <v/>
      </c>
      <c r="E35" s="15">
        <f>COUNTIFS(Tasks[Module],A35,Tasks[Layer],"Frontend",Tasks[Status],"Completed")</f>
        <v/>
      </c>
      <c r="F35" s="15">
        <f>COUNTIFS(Tasks[Module],A35,Tasks[Status],"Not started")</f>
        <v/>
      </c>
      <c r="G35" s="15">
        <f>COUNTIFS(Tasks[Module],A35,Tasks[Status],"In progress")</f>
        <v/>
      </c>
      <c r="H35" s="15">
        <f>COUNTIFS(Tasks[Module],A35,Tasks[Status],"Under review")</f>
        <v/>
      </c>
      <c r="I35" s="15">
        <f>COUNTIFS(Tasks[Module],A35,Tasks[Status],"Completed")</f>
        <v/>
      </c>
    </row>
    <row r="36">
      <c r="A36" s="17" t="inlineStr">
        <is>
          <t>Admin</t>
        </is>
      </c>
      <c r="B36" s="18">
        <f>COUNTIFS(Tasks[Module],A36,Tasks[Layer],"Backend")</f>
        <v/>
      </c>
      <c r="C36" s="18">
        <f>COUNTIFS(Tasks[Module],A36,Tasks[Layer],"Backend",Tasks[Status],"Completed")</f>
        <v/>
      </c>
      <c r="D36" s="18">
        <f>COUNTIFS(Tasks[Module],A36,Tasks[Layer],"Frontend")</f>
        <v/>
      </c>
      <c r="E36" s="18">
        <f>COUNTIFS(Tasks[Module],A36,Tasks[Layer],"Frontend",Tasks[Status],"Completed")</f>
        <v/>
      </c>
      <c r="F36" s="18">
        <f>COUNTIFS(Tasks[Module],A36,Tasks[Status],"Not started")</f>
        <v/>
      </c>
      <c r="G36" s="18">
        <f>COUNTIFS(Tasks[Module],A36,Tasks[Status],"In progress")</f>
        <v/>
      </c>
      <c r="H36" s="18">
        <f>COUNTIFS(Tasks[Module],A36,Tasks[Status],"Under review")</f>
        <v/>
      </c>
      <c r="I36" s="18">
        <f>COUNTIFS(Tasks[Module],A36,Tasks[Status],"Completed")</f>
        <v/>
      </c>
    </row>
    <row r="37">
      <c r="A37" s="14" t="inlineStr">
        <is>
          <t>Finance</t>
        </is>
      </c>
      <c r="B37" s="15">
        <f>COUNTIFS(Tasks[Module],A37,Tasks[Layer],"Backend")</f>
        <v/>
      </c>
      <c r="C37" s="15">
        <f>COUNTIFS(Tasks[Module],A37,Tasks[Layer],"Backend",Tasks[Status],"Completed")</f>
        <v/>
      </c>
      <c r="D37" s="15">
        <f>COUNTIFS(Tasks[Module],A37,Tasks[Layer],"Frontend")</f>
        <v/>
      </c>
      <c r="E37" s="15">
        <f>COUNTIFS(Tasks[Module],A37,Tasks[Layer],"Frontend",Tasks[Status],"Completed")</f>
        <v/>
      </c>
      <c r="F37" s="15">
        <f>COUNTIFS(Tasks[Module],A37,Tasks[Status],"Not started")</f>
        <v/>
      </c>
      <c r="G37" s="15">
        <f>COUNTIFS(Tasks[Module],A37,Tasks[Status],"In progress")</f>
        <v/>
      </c>
      <c r="H37" s="15">
        <f>COUNTIFS(Tasks[Module],A37,Tasks[Status],"Under review")</f>
        <v/>
      </c>
      <c r="I37" s="15">
        <f>COUNTIFS(Tasks[Module],A37,Tasks[Status],"Completed")</f>
        <v/>
      </c>
    </row>
    <row r="38">
      <c r="A38" s="17" t="inlineStr">
        <is>
          <t>Offers</t>
        </is>
      </c>
      <c r="B38" s="18">
        <f>COUNTIFS(Tasks[Module],A38,Tasks[Layer],"Backend")</f>
        <v/>
      </c>
      <c r="C38" s="18">
        <f>COUNTIFS(Tasks[Module],A38,Tasks[Layer],"Backend",Tasks[Status],"Completed")</f>
        <v/>
      </c>
      <c r="D38" s="18">
        <f>COUNTIFS(Tasks[Module],A38,Tasks[Layer],"Frontend")</f>
        <v/>
      </c>
      <c r="E38" s="18">
        <f>COUNTIFS(Tasks[Module],A38,Tasks[Layer],"Frontend",Tasks[Status],"Completed")</f>
        <v/>
      </c>
      <c r="F38" s="18">
        <f>COUNTIFS(Tasks[Module],A38,Tasks[Status],"Not started")</f>
        <v/>
      </c>
      <c r="G38" s="18">
        <f>COUNTIFS(Tasks[Module],A38,Tasks[Status],"In progress")</f>
        <v/>
      </c>
      <c r="H38" s="18">
        <f>COUNTIFS(Tasks[Module],A38,Tasks[Status],"Under review")</f>
        <v/>
      </c>
      <c r="I38" s="18">
        <f>COUNTIFS(Tasks[Module],A38,Tasks[Status],"Completed")</f>
        <v/>
      </c>
    </row>
    <row r="39">
      <c r="A39" s="14" t="inlineStr">
        <is>
          <t>Reviews</t>
        </is>
      </c>
      <c r="B39" s="15">
        <f>COUNTIFS(Tasks[Module],A39,Tasks[Layer],"Backend")</f>
        <v/>
      </c>
      <c r="C39" s="15">
        <f>COUNTIFS(Tasks[Module],A39,Tasks[Layer],"Backend",Tasks[Status],"Completed")</f>
        <v/>
      </c>
      <c r="D39" s="15">
        <f>COUNTIFS(Tasks[Module],A39,Tasks[Layer],"Frontend")</f>
        <v/>
      </c>
      <c r="E39" s="15">
        <f>COUNTIFS(Tasks[Module],A39,Tasks[Layer],"Frontend",Tasks[Status],"Completed")</f>
        <v/>
      </c>
      <c r="F39" s="15">
        <f>COUNTIFS(Tasks[Module],A39,Tasks[Status],"Not started")</f>
        <v/>
      </c>
      <c r="G39" s="15">
        <f>COUNTIFS(Tasks[Module],A39,Tasks[Status],"In progress")</f>
        <v/>
      </c>
      <c r="H39" s="15">
        <f>COUNTIFS(Tasks[Module],A39,Tasks[Status],"Under review")</f>
        <v/>
      </c>
      <c r="I39" s="15">
        <f>COUNTIFS(Tasks[Module],A39,Tasks[Status],"Completed")</f>
        <v/>
      </c>
    </row>
    <row r="40">
      <c r="A40" s="17" t="inlineStr">
        <is>
          <t>Notify</t>
        </is>
      </c>
      <c r="B40" s="18">
        <f>COUNTIFS(Tasks[Module],A40,Tasks[Layer],"Backend")</f>
        <v/>
      </c>
      <c r="C40" s="18">
        <f>COUNTIFS(Tasks[Module],A40,Tasks[Layer],"Backend",Tasks[Status],"Completed")</f>
        <v/>
      </c>
      <c r="D40" s="18">
        <f>COUNTIFS(Tasks[Module],A40,Tasks[Layer],"Frontend")</f>
        <v/>
      </c>
      <c r="E40" s="18">
        <f>COUNTIFS(Tasks[Module],A40,Tasks[Layer],"Frontend",Tasks[Status],"Completed")</f>
        <v/>
      </c>
      <c r="F40" s="18">
        <f>COUNTIFS(Tasks[Module],A40,Tasks[Status],"Not started")</f>
        <v/>
      </c>
      <c r="G40" s="18">
        <f>COUNTIFS(Tasks[Module],A40,Tasks[Status],"In progress")</f>
        <v/>
      </c>
      <c r="H40" s="18">
        <f>COUNTIFS(Tasks[Module],A40,Tasks[Status],"Under review")</f>
        <v/>
      </c>
      <c r="I40" s="18">
        <f>COUNTIFS(Tasks[Module],A40,Tasks[Status],"Completed")</f>
        <v/>
      </c>
    </row>
    <row r="41">
      <c r="A41" s="14" t="inlineStr">
        <is>
          <t>CRM</t>
        </is>
      </c>
      <c r="B41" s="15">
        <f>COUNTIFS(Tasks[Module],A41,Tasks[Layer],"Backend")</f>
        <v/>
      </c>
      <c r="C41" s="15">
        <f>COUNTIFS(Tasks[Module],A41,Tasks[Layer],"Backend",Tasks[Status],"Completed")</f>
        <v/>
      </c>
      <c r="D41" s="15">
        <f>COUNTIFS(Tasks[Module],A41,Tasks[Layer],"Frontend")</f>
        <v/>
      </c>
      <c r="E41" s="15">
        <f>COUNTIFS(Tasks[Module],A41,Tasks[Layer],"Frontend",Tasks[Status],"Completed")</f>
        <v/>
      </c>
      <c r="F41" s="15">
        <f>COUNTIFS(Tasks[Module],A41,Tasks[Status],"Not started")</f>
        <v/>
      </c>
      <c r="G41" s="15">
        <f>COUNTIFS(Tasks[Module],A41,Tasks[Status],"In progress")</f>
        <v/>
      </c>
      <c r="H41" s="15">
        <f>COUNTIFS(Tasks[Module],A41,Tasks[Status],"Under review")</f>
        <v/>
      </c>
      <c r="I41" s="15">
        <f>COUNTIFS(Tasks[Module],A41,Tasks[Status],"Completed")</f>
        <v/>
      </c>
    </row>
    <row r="42">
      <c r="A42" s="17" t="inlineStr">
        <is>
          <t>Mobile</t>
        </is>
      </c>
      <c r="B42" s="18">
        <f>COUNTIFS(Tasks[Module],A42,Tasks[Layer],"Backend")</f>
        <v/>
      </c>
      <c r="C42" s="18">
        <f>COUNTIFS(Tasks[Module],A42,Tasks[Layer],"Backend",Tasks[Status],"Completed")</f>
        <v/>
      </c>
      <c r="D42" s="18">
        <f>COUNTIFS(Tasks[Module],A42,Tasks[Layer],"Frontend")</f>
        <v/>
      </c>
      <c r="E42" s="18">
        <f>COUNTIFS(Tasks[Module],A42,Tasks[Layer],"Frontend",Tasks[Status],"Completed")</f>
        <v/>
      </c>
      <c r="F42" s="18">
        <f>COUNTIFS(Tasks[Module],A42,Tasks[Status],"Not started")</f>
        <v/>
      </c>
      <c r="G42" s="18">
        <f>COUNTIFS(Tasks[Module],A42,Tasks[Status],"In progress")</f>
        <v/>
      </c>
      <c r="H42" s="18">
        <f>COUNTIFS(Tasks[Module],A42,Tasks[Status],"Under review")</f>
        <v/>
      </c>
      <c r="I42" s="18">
        <f>COUNTIFS(Tasks[Module],A42,Tasks[Status],"Completed")</f>
        <v/>
      </c>
    </row>
    <row r="44">
      <c r="A44" s="8" t="inlineStr">
        <is>
          <t>How to use</t>
        </is>
      </c>
    </row>
    <row r="45">
      <c r="A45" s="19" t="inlineStr">
        <is>
          <t>Backend = NestJS services, Prisma, gateway, webhooks. Frontend = Next.js web, Next.js admin, Expo mobile. Open the Backend or Frontend tab for a 4-column board. Module tabs still exist. Change Status on All Tasks — counts update.</t>
        </is>
      </c>
    </row>
    <row r="46"/>
  </sheetData>
  <mergeCells count="19">
    <mergeCell ref="F4:G4"/>
    <mergeCell ref="B7:C7"/>
    <mergeCell ref="A1:H1"/>
    <mergeCell ref="F7:G7"/>
    <mergeCell ref="H5"/>
    <mergeCell ref="H8"/>
    <mergeCell ref="F5:G5"/>
    <mergeCell ref="B8:C8"/>
    <mergeCell ref="H4"/>
    <mergeCell ref="F8:G8"/>
    <mergeCell ref="A45:I46"/>
    <mergeCell ref="D7:E7"/>
    <mergeCell ref="A2:H2"/>
    <mergeCell ref="D4:E4"/>
    <mergeCell ref="D8:E8"/>
    <mergeCell ref="B5:C5"/>
    <mergeCell ref="D5:E5"/>
    <mergeCell ref="H7"/>
    <mergeCell ref="B4:C4"/>
  </mergeCells>
  <pageMargins left="0.75" right="0.75" top="1" bottom="1" header="0.5" footer="0.5"/>
  <pageSetup orientation="landscape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B3A4B"/>
    <outlinePr summaryBelow="1" summaryRight="1"/>
    <pageSetUpPr fitToPage="1"/>
  </sheetPr>
  <dimension ref="A1:H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2" customWidth="1" min="4" max="4"/>
    <col width="52" customWidth="1" min="5" max="5"/>
    <col width="12" customWidth="1" min="6" max="6"/>
    <col width="22" customWidth="1" min="7" max="7"/>
    <col width="16" customWidth="1" min="8" max="8"/>
  </cols>
  <sheetData>
    <row r="1" ht="22" customHeight="1">
      <c r="A1" s="9" t="inlineStr">
        <is>
          <t>ID</t>
        </is>
      </c>
      <c r="B1" s="9" t="inlineStr">
        <is>
          <t>Layer</t>
        </is>
      </c>
      <c r="C1" s="9" t="inlineStr">
        <is>
          <t>Module</t>
        </is>
      </c>
      <c r="D1" s="9" t="inlineStr">
        <is>
          <t>Service</t>
        </is>
      </c>
      <c r="E1" s="9" t="inlineStr">
        <is>
          <t>Task</t>
        </is>
      </c>
      <c r="F1" s="9" t="inlineStr">
        <is>
          <t>Week</t>
        </is>
      </c>
      <c r="G1" s="9" t="inlineStr">
        <is>
          <t>Week dates</t>
        </is>
      </c>
      <c r="H1" s="9" t="inlineStr">
        <is>
          <t>Status</t>
        </is>
      </c>
    </row>
    <row r="2" ht="20" customHeight="1">
      <c r="A2" s="18" t="inlineStr">
        <is>
          <t>f1</t>
        </is>
      </c>
      <c r="B2" s="20" t="inlineStr">
        <is>
          <t>Backend</t>
        </is>
      </c>
      <c r="C2" s="17" t="inlineStr">
        <is>
          <t>Foundation</t>
        </is>
      </c>
      <c r="D2" s="17" t="inlineStr">
        <is>
          <t>gateway, infra, web, admin</t>
        </is>
      </c>
      <c r="E2" s="17" t="inlineStr">
        <is>
          <t>Monorepo, turbo, Nest service packages</t>
        </is>
      </c>
      <c r="F2" s="18" t="inlineStr">
        <is>
          <t>Week 1</t>
        </is>
      </c>
      <c r="G2" s="17" t="inlineStr">
        <is>
          <t>13–19 Aug 2026</t>
        </is>
      </c>
      <c r="H2" s="21" t="inlineStr">
        <is>
          <t>Completed</t>
        </is>
      </c>
    </row>
    <row r="3" ht="20" customHeight="1">
      <c r="A3" s="15" t="inlineStr">
        <is>
          <t>f2</t>
        </is>
      </c>
      <c r="B3" s="20" t="inlineStr">
        <is>
          <t>Backend</t>
        </is>
      </c>
      <c r="C3" s="14" t="inlineStr">
        <is>
          <t>Foundation</t>
        </is>
      </c>
      <c r="D3" s="14" t="inlineStr">
        <is>
          <t>gateway, infra, web, admin</t>
        </is>
      </c>
      <c r="E3" s="14" t="inlineStr">
        <is>
          <t>Docker Compose Postgres + Redis</t>
        </is>
      </c>
      <c r="F3" s="15" t="inlineStr">
        <is>
          <t>Week 1</t>
        </is>
      </c>
      <c r="G3" s="14" t="inlineStr">
        <is>
          <t>13–19 Aug 2026</t>
        </is>
      </c>
      <c r="H3" s="21" t="inlineStr">
        <is>
          <t>Completed</t>
        </is>
      </c>
    </row>
    <row r="4" ht="20" customHeight="1">
      <c r="A4" s="18" t="inlineStr">
        <is>
          <t>f3</t>
        </is>
      </c>
      <c r="B4" s="20" t="inlineStr">
        <is>
          <t>Backend</t>
        </is>
      </c>
      <c r="C4" s="17" t="inlineStr">
        <is>
          <t>Foundation</t>
        </is>
      </c>
      <c r="D4" s="17" t="inlineStr">
        <is>
          <t>gateway, infra, web, admin</t>
        </is>
      </c>
      <c r="E4" s="17" t="inlineStr">
        <is>
          <t>Prisma schema draft (all domains)</t>
        </is>
      </c>
      <c r="F4" s="18" t="inlineStr">
        <is>
          <t>Week 1</t>
        </is>
      </c>
      <c r="G4" s="17" t="inlineStr">
        <is>
          <t>13–19 Aug 2026</t>
        </is>
      </c>
      <c r="H4" s="22" t="inlineStr">
        <is>
          <t>Under review</t>
        </is>
      </c>
    </row>
    <row r="5" ht="20" customHeight="1">
      <c r="A5" s="15" t="inlineStr">
        <is>
          <t>f4</t>
        </is>
      </c>
      <c r="B5" s="20" t="inlineStr">
        <is>
          <t>Backend</t>
        </is>
      </c>
      <c r="C5" s="14" t="inlineStr">
        <is>
          <t>Foundation</t>
        </is>
      </c>
      <c r="D5" s="14" t="inlineStr">
        <is>
          <t>gateway, infra, web, admin</t>
        </is>
      </c>
      <c r="E5" s="14" t="inlineStr">
        <is>
          <t>NestJS service stubs + health</t>
        </is>
      </c>
      <c r="F5" s="15" t="inlineStr">
        <is>
          <t>Week 1</t>
        </is>
      </c>
      <c r="G5" s="14" t="inlineStr">
        <is>
          <t>13–19 Aug 2026</t>
        </is>
      </c>
      <c r="H5" s="21" t="inlineStr">
        <is>
          <t>Completed</t>
        </is>
      </c>
    </row>
    <row r="6" ht="20" customHeight="1">
      <c r="A6" s="18" t="inlineStr">
        <is>
          <t>f5</t>
        </is>
      </c>
      <c r="B6" s="20" t="inlineStr">
        <is>
          <t>Backend</t>
        </is>
      </c>
      <c r="C6" s="17" t="inlineStr">
        <is>
          <t>Foundation</t>
        </is>
      </c>
      <c r="D6" s="17" t="inlineStr">
        <is>
          <t>gateway, infra, web, admin</t>
        </is>
      </c>
      <c r="E6" s="17" t="inlineStr">
        <is>
          <t>Prisma migrate on local Docker</t>
        </is>
      </c>
      <c r="F6" s="18" t="inlineStr">
        <is>
          <t>Week 1</t>
        </is>
      </c>
      <c r="G6" s="17" t="inlineStr">
        <is>
          <t>13–19 Aug 2026</t>
        </is>
      </c>
      <c r="H6" s="23" t="inlineStr">
        <is>
          <t>Not started</t>
        </is>
      </c>
    </row>
    <row r="7" ht="20" customHeight="1">
      <c r="A7" s="15" t="inlineStr">
        <is>
          <t>f6</t>
        </is>
      </c>
      <c r="B7" s="20" t="inlineStr">
        <is>
          <t>Backend</t>
        </is>
      </c>
      <c r="C7" s="14" t="inlineStr">
        <is>
          <t>Foundation</t>
        </is>
      </c>
      <c r="D7" s="14" t="inlineStr">
        <is>
          <t>gateway, infra, web, admin</t>
        </is>
      </c>
      <c r="E7" s="14" t="inlineStr">
        <is>
          <t>Gateway Firebase JWT verify + /v1 proxy</t>
        </is>
      </c>
      <c r="F7" s="15" t="inlineStr">
        <is>
          <t>Week 1</t>
        </is>
      </c>
      <c r="G7" s="14" t="inlineStr">
        <is>
          <t>13–19 Aug 2026</t>
        </is>
      </c>
      <c r="H7" s="23" t="inlineStr">
        <is>
          <t>Not started</t>
        </is>
      </c>
    </row>
    <row r="8" ht="20" customHeight="1">
      <c r="A8" s="18" t="inlineStr">
        <is>
          <t>f7</t>
        </is>
      </c>
      <c r="B8" s="20" t="inlineStr">
        <is>
          <t>Backend</t>
        </is>
      </c>
      <c r="C8" s="17" t="inlineStr">
        <is>
          <t>Foundation</t>
        </is>
      </c>
      <c r="D8" s="17" t="inlineStr">
        <is>
          <t>gateway, infra, web, admin</t>
        </is>
      </c>
      <c r="E8" s="17" t="inlineStr">
        <is>
          <t>Shared env + service ports</t>
        </is>
      </c>
      <c r="F8" s="18" t="inlineStr">
        <is>
          <t>Week 1</t>
        </is>
      </c>
      <c r="G8" s="17" t="inlineStr">
        <is>
          <t>13–19 Aug 2026</t>
        </is>
      </c>
      <c r="H8" s="23" t="inlineStr">
        <is>
          <t>Not started</t>
        </is>
      </c>
    </row>
    <row r="9" ht="20" customHeight="1">
      <c r="A9" s="15" t="inlineStr">
        <is>
          <t>f8</t>
        </is>
      </c>
      <c r="B9" s="20" t="inlineStr">
        <is>
          <t>Backend</t>
        </is>
      </c>
      <c r="C9" s="14" t="inlineStr">
        <is>
          <t>Foundation</t>
        </is>
      </c>
      <c r="D9" s="14" t="inlineStr">
        <is>
          <t>gateway, infra, web, admin</t>
        </is>
      </c>
      <c r="E9" s="14" t="inlineStr">
        <is>
          <t>Rate limits, audit, staging API deploy</t>
        </is>
      </c>
      <c r="F9" s="15" t="inlineStr">
        <is>
          <t>Week 4</t>
        </is>
      </c>
      <c r="G9" s="14" t="inlineStr">
        <is>
          <t>3–9 Sep 2026</t>
        </is>
      </c>
      <c r="H9" s="23" t="inlineStr">
        <is>
          <t>Not started</t>
        </is>
      </c>
    </row>
    <row r="10" ht="20" customHeight="1">
      <c r="A10" s="18" t="inlineStr">
        <is>
          <t>ff1</t>
        </is>
      </c>
      <c r="B10" s="21" t="inlineStr">
        <is>
          <t>Frontend</t>
        </is>
      </c>
      <c r="C10" s="17" t="inlineStr">
        <is>
          <t>Foundation</t>
        </is>
      </c>
      <c r="D10" s="17" t="inlineStr">
        <is>
          <t>gateway, infra, web, admin</t>
        </is>
      </c>
      <c r="E10" s="17" t="inlineStr">
        <is>
          <t>Next.js web + admin package stubs</t>
        </is>
      </c>
      <c r="F10" s="18" t="inlineStr">
        <is>
          <t>Week 1</t>
        </is>
      </c>
      <c r="G10" s="17" t="inlineStr">
        <is>
          <t>13–19 Aug 2026</t>
        </is>
      </c>
      <c r="H10" s="21" t="inlineStr">
        <is>
          <t>Completed</t>
        </is>
      </c>
    </row>
    <row r="11" ht="20" customHeight="1">
      <c r="A11" s="15" t="inlineStr">
        <is>
          <t>ff2</t>
        </is>
      </c>
      <c r="B11" s="21" t="inlineStr">
        <is>
          <t>Frontend</t>
        </is>
      </c>
      <c r="C11" s="14" t="inlineStr">
        <is>
          <t>Foundation</t>
        </is>
      </c>
      <c r="D11" s="14" t="inlineStr">
        <is>
          <t>gateway, infra, web, admin</t>
        </is>
      </c>
      <c r="E11" s="14" t="inlineStr">
        <is>
          <t>Web/admin Tailwind + shadcn shells</t>
        </is>
      </c>
      <c r="F11" s="15" t="inlineStr">
        <is>
          <t>Week 1</t>
        </is>
      </c>
      <c r="G11" s="14" t="inlineStr">
        <is>
          <t>13–19 Aug 2026</t>
        </is>
      </c>
      <c r="H11" s="23" t="inlineStr">
        <is>
          <t>Not started</t>
        </is>
      </c>
    </row>
    <row r="12" ht="20" customHeight="1">
      <c r="A12" s="18" t="inlineStr">
        <is>
          <t>ff3</t>
        </is>
      </c>
      <c r="B12" s="21" t="inlineStr">
        <is>
          <t>Frontend</t>
        </is>
      </c>
      <c r="C12" s="17" t="inlineStr">
        <is>
          <t>Foundation</t>
        </is>
      </c>
      <c r="D12" s="17" t="inlineStr">
        <is>
          <t>gateway, infra, web, admin</t>
        </is>
      </c>
      <c r="E12" s="17" t="inlineStr">
        <is>
          <t>Wire apps to gateway API base URL</t>
        </is>
      </c>
      <c r="F12" s="18" t="inlineStr">
        <is>
          <t>Week 1</t>
        </is>
      </c>
      <c r="G12" s="17" t="inlineStr">
        <is>
          <t>13–19 Aug 2026</t>
        </is>
      </c>
      <c r="H12" s="23" t="inlineStr">
        <is>
          <t>Not started</t>
        </is>
      </c>
    </row>
    <row r="13" ht="20" customHeight="1">
      <c r="A13" s="15" t="inlineStr">
        <is>
          <t>ff4</t>
        </is>
      </c>
      <c r="B13" s="21" t="inlineStr">
        <is>
          <t>Frontend</t>
        </is>
      </c>
      <c r="C13" s="14" t="inlineStr">
        <is>
          <t>Foundation</t>
        </is>
      </c>
      <c r="D13" s="14" t="inlineStr">
        <is>
          <t>gateway, infra, web, admin</t>
        </is>
      </c>
      <c r="E13" s="14" t="inlineStr">
        <is>
          <t>Web + admin staging deploy</t>
        </is>
      </c>
      <c r="F13" s="15" t="inlineStr">
        <is>
          <t>Week 4</t>
        </is>
      </c>
      <c r="G13" s="14" t="inlineStr">
        <is>
          <t>3–9 Sep 2026</t>
        </is>
      </c>
      <c r="H13" s="23" t="inlineStr">
        <is>
          <t>Not started</t>
        </is>
      </c>
    </row>
    <row r="14" ht="20" customHeight="1">
      <c r="A14" s="18" t="inlineStr">
        <is>
          <t>a1</t>
        </is>
      </c>
      <c r="B14" s="20" t="inlineStr">
        <is>
          <t>Backend</t>
        </is>
      </c>
      <c r="C14" s="17" t="inlineStr">
        <is>
          <t>Auth</t>
        </is>
      </c>
      <c r="D14" s="17" t="inlineStr">
        <is>
          <t>identity</t>
        </is>
      </c>
      <c r="E14" s="17" t="inlineStr">
        <is>
          <t>Auth API + RBAC spec</t>
        </is>
      </c>
      <c r="F14" s="18" t="inlineStr">
        <is>
          <t>Week 1</t>
        </is>
      </c>
      <c r="G14" s="17" t="inlineStr">
        <is>
          <t>13–19 Aug 2026</t>
        </is>
      </c>
      <c r="H14" s="21" t="inlineStr">
        <is>
          <t>Completed</t>
        </is>
      </c>
    </row>
    <row r="15" ht="20" customHeight="1">
      <c r="A15" s="15" t="inlineStr">
        <is>
          <t>a2</t>
        </is>
      </c>
      <c r="B15" s="20" t="inlineStr">
        <is>
          <t>Backend</t>
        </is>
      </c>
      <c r="C15" s="14" t="inlineStr">
        <is>
          <t>Auth</t>
        </is>
      </c>
      <c r="D15" s="14" t="inlineStr">
        <is>
          <t>identity</t>
        </is>
      </c>
      <c r="E15" s="14" t="inlineStr">
        <is>
          <t>Identity Nest stub</t>
        </is>
      </c>
      <c r="F15" s="15" t="inlineStr">
        <is>
          <t>Week 1</t>
        </is>
      </c>
      <c r="G15" s="14" t="inlineStr">
        <is>
          <t>13–19 Aug 2026</t>
        </is>
      </c>
      <c r="H15" s="21" t="inlineStr">
        <is>
          <t>Completed</t>
        </is>
      </c>
    </row>
    <row r="16" ht="20" customHeight="1">
      <c r="A16" s="18" t="inlineStr">
        <is>
          <t>a3</t>
        </is>
      </c>
      <c r="B16" s="20" t="inlineStr">
        <is>
          <t>Backend</t>
        </is>
      </c>
      <c r="C16" s="17" t="inlineStr">
        <is>
          <t>Auth</t>
        </is>
      </c>
      <c r="D16" s="17" t="inlineStr">
        <is>
          <t>identity</t>
        </is>
      </c>
      <c r="E16" s="17" t="inlineStr">
        <is>
          <t>POST /v1/auth/sync from Firebase token</t>
        </is>
      </c>
      <c r="F16" s="18" t="inlineStr">
        <is>
          <t>Week 1</t>
        </is>
      </c>
      <c r="G16" s="17" t="inlineStr">
        <is>
          <t>13–19 Aug 2026</t>
        </is>
      </c>
      <c r="H16" s="23" t="inlineStr">
        <is>
          <t>Not started</t>
        </is>
      </c>
    </row>
    <row r="17" ht="20" customHeight="1">
      <c r="A17" s="15" t="inlineStr">
        <is>
          <t>a4</t>
        </is>
      </c>
      <c r="B17" s="20" t="inlineStr">
        <is>
          <t>Backend</t>
        </is>
      </c>
      <c r="C17" s="14" t="inlineStr">
        <is>
          <t>Auth</t>
        </is>
      </c>
      <c r="D17" s="14" t="inlineStr">
        <is>
          <t>identity</t>
        </is>
      </c>
      <c r="E17" s="14" t="inlineStr">
        <is>
          <t>GET/PATCH /v1/me + roles</t>
        </is>
      </c>
      <c r="F17" s="15" t="inlineStr">
        <is>
          <t>Week 1</t>
        </is>
      </c>
      <c r="G17" s="14" t="inlineStr">
        <is>
          <t>13–19 Aug 2026</t>
        </is>
      </c>
      <c r="H17" s="23" t="inlineStr">
        <is>
          <t>Not started</t>
        </is>
      </c>
    </row>
    <row r="18" ht="20" customHeight="1">
      <c r="A18" s="18" t="inlineStr">
        <is>
          <t>a5</t>
        </is>
      </c>
      <c r="B18" s="20" t="inlineStr">
        <is>
          <t>Backend</t>
        </is>
      </c>
      <c r="C18" s="17" t="inlineStr">
        <is>
          <t>Auth</t>
        </is>
      </c>
      <c r="D18" s="17" t="inlineStr">
        <is>
          <t>identity</t>
        </is>
      </c>
      <c r="E18" s="17" t="inlineStr">
        <is>
          <t>Invite staff, assign roles, disable APIs</t>
        </is>
      </c>
      <c r="F18" s="18" t="inlineStr">
        <is>
          <t>Week 1</t>
        </is>
      </c>
      <c r="G18" s="17" t="inlineStr">
        <is>
          <t>13–19 Aug 2026</t>
        </is>
      </c>
      <c r="H18" s="23" t="inlineStr">
        <is>
          <t>Not started</t>
        </is>
      </c>
    </row>
    <row r="19" ht="20" customHeight="1">
      <c r="A19" s="15" t="inlineStr">
        <is>
          <t>a6</t>
        </is>
      </c>
      <c r="B19" s="20" t="inlineStr">
        <is>
          <t>Backend</t>
        </is>
      </c>
      <c r="C19" s="14" t="inlineStr">
        <is>
          <t>Auth</t>
        </is>
      </c>
      <c r="D19" s="14" t="inlineStr">
        <is>
          <t>identity</t>
        </is>
      </c>
      <c r="E19" s="14" t="inlineStr">
        <is>
          <t>Audit log for privileged writes</t>
        </is>
      </c>
      <c r="F19" s="15" t="inlineStr">
        <is>
          <t>Week 4</t>
        </is>
      </c>
      <c r="G19" s="14" t="inlineStr">
        <is>
          <t>3–9 Sep 2026</t>
        </is>
      </c>
      <c r="H19" s="23" t="inlineStr">
        <is>
          <t>Not started</t>
        </is>
      </c>
    </row>
    <row r="20" ht="20" customHeight="1">
      <c r="A20" s="18" t="inlineStr">
        <is>
          <t>af1</t>
        </is>
      </c>
      <c r="B20" s="21" t="inlineStr">
        <is>
          <t>Frontend</t>
        </is>
      </c>
      <c r="C20" s="17" t="inlineStr">
        <is>
          <t>Auth</t>
        </is>
      </c>
      <c r="D20" s="17" t="inlineStr">
        <is>
          <t>identity</t>
        </is>
      </c>
      <c r="E20" s="17" t="inlineStr">
        <is>
          <t>Web login / signup + OTP verify UI</t>
        </is>
      </c>
      <c r="F20" s="18" t="inlineStr">
        <is>
          <t>Week 1</t>
        </is>
      </c>
      <c r="G20" s="17" t="inlineStr">
        <is>
          <t>13–19 Aug 2026</t>
        </is>
      </c>
      <c r="H20" s="23" t="inlineStr">
        <is>
          <t>Not started</t>
        </is>
      </c>
    </row>
    <row r="21" ht="20" customHeight="1">
      <c r="A21" s="15" t="inlineStr">
        <is>
          <t>af2</t>
        </is>
      </c>
      <c r="B21" s="21" t="inlineStr">
        <is>
          <t>Frontend</t>
        </is>
      </c>
      <c r="C21" s="14" t="inlineStr">
        <is>
          <t>Auth</t>
        </is>
      </c>
      <c r="D21" s="14" t="inlineStr">
        <is>
          <t>identity</t>
        </is>
      </c>
      <c r="E21" s="14" t="inlineStr">
        <is>
          <t>Admin login (Firebase)</t>
        </is>
      </c>
      <c r="F21" s="15" t="inlineStr">
        <is>
          <t>Week 1</t>
        </is>
      </c>
      <c r="G21" s="14" t="inlineStr">
        <is>
          <t>13–19 Aug 2026</t>
        </is>
      </c>
      <c r="H21" s="23" t="inlineStr">
        <is>
          <t>Not started</t>
        </is>
      </c>
    </row>
    <row r="22" ht="20" customHeight="1">
      <c r="A22" s="18" t="inlineStr">
        <is>
          <t>c1</t>
        </is>
      </c>
      <c r="B22" s="20" t="inlineStr">
        <is>
          <t>Backend</t>
        </is>
      </c>
      <c r="C22" s="17" t="inlineStr">
        <is>
          <t>CMS</t>
        </is>
      </c>
      <c r="D22" s="17" t="inlineStr">
        <is>
          <t>platform</t>
        </is>
      </c>
      <c r="E22" s="17" t="inlineStr">
        <is>
          <t>CMS API spec</t>
        </is>
      </c>
      <c r="F22" s="18" t="inlineStr">
        <is>
          <t>Week 4</t>
        </is>
      </c>
      <c r="G22" s="17" t="inlineStr">
        <is>
          <t>3–9 Sep 2026</t>
        </is>
      </c>
      <c r="H22" s="21" t="inlineStr">
        <is>
          <t>Completed</t>
        </is>
      </c>
    </row>
    <row r="23" ht="20" customHeight="1">
      <c r="A23" s="15" t="inlineStr">
        <is>
          <t>c2</t>
        </is>
      </c>
      <c r="B23" s="20" t="inlineStr">
        <is>
          <t>Backend</t>
        </is>
      </c>
      <c r="C23" s="14" t="inlineStr">
        <is>
          <t>CMS</t>
        </is>
      </c>
      <c r="D23" s="14" t="inlineStr">
        <is>
          <t>platform</t>
        </is>
      </c>
      <c r="E23" s="14" t="inlineStr">
        <is>
          <t>Public pages, banners, blogs APIs</t>
        </is>
      </c>
      <c r="F23" s="15" t="inlineStr">
        <is>
          <t>Week 4</t>
        </is>
      </c>
      <c r="G23" s="14" t="inlineStr">
        <is>
          <t>3–9 Sep 2026</t>
        </is>
      </c>
      <c r="H23" s="23" t="inlineStr">
        <is>
          <t>Not started</t>
        </is>
      </c>
    </row>
    <row r="24" ht="20" customHeight="1">
      <c r="A24" s="18" t="inlineStr">
        <is>
          <t>c3</t>
        </is>
      </c>
      <c r="B24" s="20" t="inlineStr">
        <is>
          <t>Backend</t>
        </is>
      </c>
      <c r="C24" s="17" t="inlineStr">
        <is>
          <t>CMS</t>
        </is>
      </c>
      <c r="D24" s="17" t="inlineStr">
        <is>
          <t>platform</t>
        </is>
      </c>
      <c r="E24" s="17" t="inlineStr">
        <is>
          <t>Admin CMS CRUD + publish APIs</t>
        </is>
      </c>
      <c r="F24" s="18" t="inlineStr">
        <is>
          <t>Week 4</t>
        </is>
      </c>
      <c r="G24" s="17" t="inlineStr">
        <is>
          <t>3–9 Sep 2026</t>
        </is>
      </c>
      <c r="H24" s="23" t="inlineStr">
        <is>
          <t>Not started</t>
        </is>
      </c>
    </row>
    <row r="25" ht="20" customHeight="1">
      <c r="A25" s="15" t="inlineStr">
        <is>
          <t>cf1</t>
        </is>
      </c>
      <c r="B25" s="21" t="inlineStr">
        <is>
          <t>Frontend</t>
        </is>
      </c>
      <c r="C25" s="14" t="inlineStr">
        <is>
          <t>CMS</t>
        </is>
      </c>
      <c r="D25" s="14" t="inlineStr">
        <is>
          <t>platform</t>
        </is>
      </c>
      <c r="E25" s="14" t="inlineStr">
        <is>
          <t>Web home banners, blogs, contact page</t>
        </is>
      </c>
      <c r="F25" s="15" t="inlineStr">
        <is>
          <t>Week 4</t>
        </is>
      </c>
      <c r="G25" s="14" t="inlineStr">
        <is>
          <t>3–9 Sep 2026</t>
        </is>
      </c>
      <c r="H25" s="23" t="inlineStr">
        <is>
          <t>Not started</t>
        </is>
      </c>
    </row>
    <row r="26" ht="20" customHeight="1">
      <c r="A26" s="18" t="inlineStr">
        <is>
          <t>cf2</t>
        </is>
      </c>
      <c r="B26" s="21" t="inlineStr">
        <is>
          <t>Frontend</t>
        </is>
      </c>
      <c r="C26" s="17" t="inlineStr">
        <is>
          <t>CMS</t>
        </is>
      </c>
      <c r="D26" s="17" t="inlineStr">
        <is>
          <t>platform</t>
        </is>
      </c>
      <c r="E26" s="17" t="inlineStr">
        <is>
          <t>Admin CMS screens</t>
        </is>
      </c>
      <c r="F26" s="18" t="inlineStr">
        <is>
          <t>Week 4</t>
        </is>
      </c>
      <c r="G26" s="17" t="inlineStr">
        <is>
          <t>3–9 Sep 2026</t>
        </is>
      </c>
      <c r="H26" s="23" t="inlineStr">
        <is>
          <t>Not started</t>
        </is>
      </c>
    </row>
    <row r="27" ht="20" customHeight="1">
      <c r="A27" s="15" t="inlineStr">
        <is>
          <t>d1</t>
        </is>
      </c>
      <c r="B27" s="20" t="inlineStr">
        <is>
          <t>Backend</t>
        </is>
      </c>
      <c r="C27" s="14" t="inlineStr">
        <is>
          <t>Dashboard</t>
        </is>
      </c>
      <c r="D27" s="14" t="inlineStr">
        <is>
          <t>identity, web</t>
        </is>
      </c>
      <c r="E27" s="14" t="inlineStr">
        <is>
          <t>Customer account API spec</t>
        </is>
      </c>
      <c r="F27" s="15" t="inlineStr">
        <is>
          <t>Week 1</t>
        </is>
      </c>
      <c r="G27" s="14" t="inlineStr">
        <is>
          <t>13–19 Aug 2026</t>
        </is>
      </c>
      <c r="H27" s="21" t="inlineStr">
        <is>
          <t>Completed</t>
        </is>
      </c>
    </row>
    <row r="28" ht="20" customHeight="1">
      <c r="A28" s="18" t="inlineStr">
        <is>
          <t>d2</t>
        </is>
      </c>
      <c r="B28" s="20" t="inlineStr">
        <is>
          <t>Backend</t>
        </is>
      </c>
      <c r="C28" s="17" t="inlineStr">
        <is>
          <t>Dashboard</t>
        </is>
      </c>
      <c r="D28" s="17" t="inlineStr">
        <is>
          <t>identity, web</t>
        </is>
      </c>
      <c r="E28" s="17" t="inlineStr">
        <is>
          <t>Customer bookings + profile APIs</t>
        </is>
      </c>
      <c r="F28" s="18" t="inlineStr">
        <is>
          <t>Week 2</t>
        </is>
      </c>
      <c r="G28" s="17" t="inlineStr">
        <is>
          <t>20–26 Aug 2026</t>
        </is>
      </c>
      <c r="H28" s="23" t="inlineStr">
        <is>
          <t>Not started</t>
        </is>
      </c>
    </row>
    <row r="29" ht="20" customHeight="1">
      <c r="A29" s="15" t="inlineStr">
        <is>
          <t>df1</t>
        </is>
      </c>
      <c r="B29" s="21" t="inlineStr">
        <is>
          <t>Frontend</t>
        </is>
      </c>
      <c r="C29" s="14" t="inlineStr">
        <is>
          <t>Dashboard</t>
        </is>
      </c>
      <c r="D29" s="14" t="inlineStr">
        <is>
          <t>identity, web</t>
        </is>
      </c>
      <c r="E29" s="14" t="inlineStr">
        <is>
          <t>Web account shell</t>
        </is>
      </c>
      <c r="F29" s="15" t="inlineStr">
        <is>
          <t>Week 1</t>
        </is>
      </c>
      <c r="G29" s="14" t="inlineStr">
        <is>
          <t>13–19 Aug 2026</t>
        </is>
      </c>
      <c r="H29" s="23" t="inlineStr">
        <is>
          <t>Not started</t>
        </is>
      </c>
    </row>
    <row r="30" ht="20" customHeight="1">
      <c r="A30" s="18" t="inlineStr">
        <is>
          <t>df2</t>
        </is>
      </c>
      <c r="B30" s="21" t="inlineStr">
        <is>
          <t>Frontend</t>
        </is>
      </c>
      <c r="C30" s="17" t="inlineStr">
        <is>
          <t>Dashboard</t>
        </is>
      </c>
      <c r="D30" s="17" t="inlineStr">
        <is>
          <t>identity, web</t>
        </is>
      </c>
      <c r="E30" s="17" t="inlineStr">
        <is>
          <t>Customer bookings list UI</t>
        </is>
      </c>
      <c r="F30" s="18" t="inlineStr">
        <is>
          <t>Week 2</t>
        </is>
      </c>
      <c r="G30" s="17" t="inlineStr">
        <is>
          <t>20–26 Aug 2026</t>
        </is>
      </c>
      <c r="H30" s="23" t="inlineStr">
        <is>
          <t>Not started</t>
        </is>
      </c>
    </row>
    <row r="31" ht="20" customHeight="1">
      <c r="A31" s="15" t="inlineStr">
        <is>
          <t>df3</t>
        </is>
      </c>
      <c r="B31" s="21" t="inlineStr">
        <is>
          <t>Frontend</t>
        </is>
      </c>
      <c r="C31" s="14" t="inlineStr">
        <is>
          <t>Dashboard</t>
        </is>
      </c>
      <c r="D31" s="14" t="inlineStr">
        <is>
          <t>identity, web</t>
        </is>
      </c>
      <c r="E31" s="14" t="inlineStr">
        <is>
          <t>Tracking page after confirm</t>
        </is>
      </c>
      <c r="F31" s="15" t="inlineStr">
        <is>
          <t>Week 3</t>
        </is>
      </c>
      <c r="G31" s="14" t="inlineStr">
        <is>
          <t>27 Aug–2 Sep 2026</t>
        </is>
      </c>
      <c r="H31" s="23" t="inlineStr">
        <is>
          <t>Not started</t>
        </is>
      </c>
    </row>
    <row r="32" ht="20" customHeight="1">
      <c r="A32" s="18" t="inlineStr">
        <is>
          <t>s1</t>
        </is>
      </c>
      <c r="B32" s="20" t="inlineStr">
        <is>
          <t>Backend</t>
        </is>
      </c>
      <c r="C32" s="17" t="inlineStr">
        <is>
          <t>Search</t>
        </is>
      </c>
      <c r="D32" s="17" t="inlineStr">
        <is>
          <t>catalog</t>
        </is>
      </c>
      <c r="E32" s="17" t="inlineStr">
        <is>
          <t>Search / catalog API spec</t>
        </is>
      </c>
      <c r="F32" s="18" t="inlineStr">
        <is>
          <t>Week 1</t>
        </is>
      </c>
      <c r="G32" s="17" t="inlineStr">
        <is>
          <t>13–19 Aug 2026</t>
        </is>
      </c>
      <c r="H32" s="21" t="inlineStr">
        <is>
          <t>Completed</t>
        </is>
      </c>
    </row>
    <row r="33" ht="20" customHeight="1">
      <c r="A33" s="15" t="inlineStr">
        <is>
          <t>s2</t>
        </is>
      </c>
      <c r="B33" s="20" t="inlineStr">
        <is>
          <t>Backend</t>
        </is>
      </c>
      <c r="C33" s="14" t="inlineStr">
        <is>
          <t>Search</t>
        </is>
      </c>
      <c r="D33" s="14" t="inlineStr">
        <is>
          <t>catalog</t>
        </is>
      </c>
      <c r="E33" s="14" t="inlineStr">
        <is>
          <t>Catalog Nest stub</t>
        </is>
      </c>
      <c r="F33" s="15" t="inlineStr">
        <is>
          <t>Week 1</t>
        </is>
      </c>
      <c r="G33" s="14" t="inlineStr">
        <is>
          <t>13–19 Aug 2026</t>
        </is>
      </c>
      <c r="H33" s="21" t="inlineStr">
        <is>
          <t>Completed</t>
        </is>
      </c>
    </row>
    <row r="34" ht="20" customHeight="1">
      <c r="A34" s="18" t="inlineStr">
        <is>
          <t>s3</t>
        </is>
      </c>
      <c r="B34" s="20" t="inlineStr">
        <is>
          <t>Backend</t>
        </is>
      </c>
      <c r="C34" s="17" t="inlineStr">
        <is>
          <t>Search</t>
        </is>
      </c>
      <c r="D34" s="17" t="inlineStr">
        <is>
          <t>catalog</t>
        </is>
      </c>
      <c r="E34" s="17" t="inlineStr">
        <is>
          <t>CarModel CRUD APIs</t>
        </is>
      </c>
      <c r="F34" s="18" t="inlineStr">
        <is>
          <t>Week 1</t>
        </is>
      </c>
      <c r="G34" s="17" t="inlineStr">
        <is>
          <t>13–19 Aug 2026</t>
        </is>
      </c>
      <c r="H34" s="23" t="inlineStr">
        <is>
          <t>Not started</t>
        </is>
      </c>
    </row>
    <row r="35" ht="20" customHeight="1">
      <c r="A35" s="15" t="inlineStr">
        <is>
          <t>s4</t>
        </is>
      </c>
      <c r="B35" s="20" t="inlineStr">
        <is>
          <t>Backend</t>
        </is>
      </c>
      <c r="C35" s="14" t="inlineStr">
        <is>
          <t>Search</t>
        </is>
      </c>
      <c r="D35" s="14" t="inlineStr">
        <is>
          <t>catalog</t>
        </is>
      </c>
      <c r="E35" s="14" t="inlineStr">
        <is>
          <t>Availability engine + buffer hours</t>
        </is>
      </c>
      <c r="F35" s="15" t="inlineStr">
        <is>
          <t>Week 2</t>
        </is>
      </c>
      <c r="G35" s="14" t="inlineStr">
        <is>
          <t>20–26 Aug 2026</t>
        </is>
      </c>
      <c r="H35" s="23" t="inlineStr">
        <is>
          <t>Not started</t>
        </is>
      </c>
    </row>
    <row r="36" ht="20" customHeight="1">
      <c r="A36" s="18" t="inlineStr">
        <is>
          <t>s5</t>
        </is>
      </c>
      <c r="B36" s="20" t="inlineStr">
        <is>
          <t>Backend</t>
        </is>
      </c>
      <c r="C36" s="17" t="inlineStr">
        <is>
          <t>Search</t>
        </is>
      </c>
      <c r="D36" s="17" t="inlineStr">
        <is>
          <t>catalog</t>
        </is>
      </c>
      <c r="E36" s="17" t="inlineStr">
        <is>
          <t>Maintenance block stub on calendar</t>
        </is>
      </c>
      <c r="F36" s="18" t="inlineStr">
        <is>
          <t>Week 2</t>
        </is>
      </c>
      <c r="G36" s="17" t="inlineStr">
        <is>
          <t>20–26 Aug 2026</t>
        </is>
      </c>
      <c r="H36" s="23" t="inlineStr">
        <is>
          <t>Not started</t>
        </is>
      </c>
    </row>
    <row r="37" ht="20" customHeight="1">
      <c r="A37" s="15" t="inlineStr">
        <is>
          <t>sf1</t>
        </is>
      </c>
      <c r="B37" s="21" t="inlineStr">
        <is>
          <t>Frontend</t>
        </is>
      </c>
      <c r="C37" s="14" t="inlineStr">
        <is>
          <t>Search</t>
        </is>
      </c>
      <c r="D37" s="14" t="inlineStr">
        <is>
          <t>catalog</t>
        </is>
      </c>
      <c r="E37" s="14" t="inlineStr">
        <is>
          <t>Public car list + search UI</t>
        </is>
      </c>
      <c r="F37" s="15" t="inlineStr">
        <is>
          <t>Week 1</t>
        </is>
      </c>
      <c r="G37" s="14" t="inlineStr">
        <is>
          <t>13–19 Aug 2026</t>
        </is>
      </c>
      <c r="H37" s="23" t="inlineStr">
        <is>
          <t>Not started</t>
        </is>
      </c>
    </row>
    <row r="38" ht="20" customHeight="1">
      <c r="A38" s="18" t="inlineStr">
        <is>
          <t>sf2</t>
        </is>
      </c>
      <c r="B38" s="21" t="inlineStr">
        <is>
          <t>Frontend</t>
        </is>
      </c>
      <c r="C38" s="17" t="inlineStr">
        <is>
          <t>Search</t>
        </is>
      </c>
      <c r="D38" s="17" t="inlineStr">
        <is>
          <t>catalog</t>
        </is>
      </c>
      <c r="E38" s="17" t="inlineStr">
        <is>
          <t>Availability calendar on car page</t>
        </is>
      </c>
      <c r="F38" s="18" t="inlineStr">
        <is>
          <t>Week 2</t>
        </is>
      </c>
      <c r="G38" s="17" t="inlineStr">
        <is>
          <t>20–26 Aug 2026</t>
        </is>
      </c>
      <c r="H38" s="23" t="inlineStr">
        <is>
          <t>Not started</t>
        </is>
      </c>
    </row>
    <row r="39" ht="20" customHeight="1">
      <c r="A39" s="15" t="inlineStr">
        <is>
          <t>b1</t>
        </is>
      </c>
      <c r="B39" s="20" t="inlineStr">
        <is>
          <t>Backend</t>
        </is>
      </c>
      <c r="C39" s="14" t="inlineStr">
        <is>
          <t>Booking</t>
        </is>
      </c>
      <c r="D39" s="14" t="inlineStr">
        <is>
          <t>booking</t>
        </is>
      </c>
      <c r="E39" s="14" t="inlineStr">
        <is>
          <t>Booking API spec</t>
        </is>
      </c>
      <c r="F39" s="15" t="inlineStr">
        <is>
          <t>Week 2</t>
        </is>
      </c>
      <c r="G39" s="14" t="inlineStr">
        <is>
          <t>20–26 Aug 2026</t>
        </is>
      </c>
      <c r="H39" s="21" t="inlineStr">
        <is>
          <t>Completed</t>
        </is>
      </c>
    </row>
    <row r="40" ht="20" customHeight="1">
      <c r="A40" s="18" t="inlineStr">
        <is>
          <t>b2</t>
        </is>
      </c>
      <c r="B40" s="20" t="inlineStr">
        <is>
          <t>Backend</t>
        </is>
      </c>
      <c r="C40" s="17" t="inlineStr">
        <is>
          <t>Booking</t>
        </is>
      </c>
      <c r="D40" s="17" t="inlineStr">
        <is>
          <t>booking</t>
        </is>
      </c>
      <c r="E40" s="17" t="inlineStr">
        <is>
          <t>Booking Nest stub</t>
        </is>
      </c>
      <c r="F40" s="18" t="inlineStr">
        <is>
          <t>Week 2</t>
        </is>
      </c>
      <c r="G40" s="17" t="inlineStr">
        <is>
          <t>20–26 Aug 2026</t>
        </is>
      </c>
      <c r="H40" s="21" t="inlineStr">
        <is>
          <t>Completed</t>
        </is>
      </c>
    </row>
    <row r="41" ht="20" customHeight="1">
      <c r="A41" s="15" t="inlineStr">
        <is>
          <t>b3</t>
        </is>
      </c>
      <c r="B41" s="20" t="inlineStr">
        <is>
          <t>Backend</t>
        </is>
      </c>
      <c r="C41" s="14" t="inlineStr">
        <is>
          <t>Booking</t>
        </is>
      </c>
      <c r="D41" s="14" t="inlineStr">
        <is>
          <t>booking</t>
        </is>
      </c>
      <c r="E41" s="14" t="inlineStr">
        <is>
          <t>Quote freeze + HOLD (15 min) API</t>
        </is>
      </c>
      <c r="F41" s="15" t="inlineStr">
        <is>
          <t>Week 2</t>
        </is>
      </c>
      <c r="G41" s="14" t="inlineStr">
        <is>
          <t>20–26 Aug 2026</t>
        </is>
      </c>
      <c r="H41" s="23" t="inlineStr">
        <is>
          <t>Not started</t>
        </is>
      </c>
    </row>
    <row r="42" ht="20" customHeight="1">
      <c r="A42" s="18" t="inlineStr">
        <is>
          <t>b4</t>
        </is>
      </c>
      <c r="B42" s="20" t="inlineStr">
        <is>
          <t>Backend</t>
        </is>
      </c>
      <c r="C42" s="17" t="inlineStr">
        <is>
          <t>Booking</t>
        </is>
      </c>
      <c r="D42" s="17" t="inlineStr">
        <is>
          <t>booking</t>
        </is>
      </c>
      <c r="E42" s="17" t="inlineStr">
        <is>
          <t>Status machine through CONFIRMED</t>
        </is>
      </c>
      <c r="F42" s="18" t="inlineStr">
        <is>
          <t>Week 3</t>
        </is>
      </c>
      <c r="G42" s="17" t="inlineStr">
        <is>
          <t>27 Aug–2 Sep 2026</t>
        </is>
      </c>
      <c r="H42" s="23" t="inlineStr">
        <is>
          <t>Not started</t>
        </is>
      </c>
    </row>
    <row r="43" ht="20" customHeight="1">
      <c r="A43" s="15" t="inlineStr">
        <is>
          <t>b5</t>
        </is>
      </c>
      <c r="B43" s="20" t="inlineStr">
        <is>
          <t>Backend</t>
        </is>
      </c>
      <c r="C43" s="14" t="inlineStr">
        <is>
          <t>Booking</t>
        </is>
      </c>
      <c r="D43" s="14" t="inlineStr">
        <is>
          <t>booking</t>
        </is>
      </c>
      <c r="E43" s="14" t="inlineStr">
        <is>
          <t>Admin bookings list API + filters</t>
        </is>
      </c>
      <c r="F43" s="15" t="inlineStr">
        <is>
          <t>Week 2</t>
        </is>
      </c>
      <c r="G43" s="14" t="inlineStr">
        <is>
          <t>20–26 Aug 2026</t>
        </is>
      </c>
      <c r="H43" s="23" t="inlineStr">
        <is>
          <t>Not started</t>
        </is>
      </c>
    </row>
    <row r="44" ht="20" customHeight="1">
      <c r="A44" s="18" t="inlineStr">
        <is>
          <t>b6</t>
        </is>
      </c>
      <c r="B44" s="20" t="inlineStr">
        <is>
          <t>Backend</t>
        </is>
      </c>
      <c r="C44" s="17" t="inlineStr">
        <is>
          <t>Booking</t>
        </is>
      </c>
      <c r="D44" s="17" t="inlineStr">
        <is>
          <t>booking</t>
        </is>
      </c>
      <c r="E44" s="17" t="inlineStr">
        <is>
          <t>Assign vehicle/driver API</t>
        </is>
      </c>
      <c r="F44" s="18" t="inlineStr">
        <is>
          <t>Week 4</t>
        </is>
      </c>
      <c r="G44" s="17" t="inlineStr">
        <is>
          <t>3–9 Sep 2026</t>
        </is>
      </c>
      <c r="H44" s="23" t="inlineStr">
        <is>
          <t>Not started</t>
        </is>
      </c>
    </row>
    <row r="45" ht="20" customHeight="1">
      <c r="A45" s="15" t="inlineStr">
        <is>
          <t>bf1</t>
        </is>
      </c>
      <c r="B45" s="21" t="inlineStr">
        <is>
          <t>Frontend</t>
        </is>
      </c>
      <c r="C45" s="14" t="inlineStr">
        <is>
          <t>Booking</t>
        </is>
      </c>
      <c r="D45" s="14" t="inlineStr">
        <is>
          <t>booking</t>
        </is>
      </c>
      <c r="E45" s="14" t="inlineStr">
        <is>
          <t>Web checkout: quote → hold → pay</t>
        </is>
      </c>
      <c r="F45" s="15" t="inlineStr">
        <is>
          <t>Week 2</t>
        </is>
      </c>
      <c r="G45" s="14" t="inlineStr">
        <is>
          <t>20–26 Aug 2026</t>
        </is>
      </c>
      <c r="H45" s="23" t="inlineStr">
        <is>
          <t>Not started</t>
        </is>
      </c>
    </row>
    <row r="46" ht="20" customHeight="1">
      <c r="A46" s="18" t="inlineStr">
        <is>
          <t>bf2</t>
        </is>
      </c>
      <c r="B46" s="21" t="inlineStr">
        <is>
          <t>Frontend</t>
        </is>
      </c>
      <c r="C46" s="17" t="inlineStr">
        <is>
          <t>Booking</t>
        </is>
      </c>
      <c r="D46" s="17" t="inlineStr">
        <is>
          <t>booking</t>
        </is>
      </c>
      <c r="E46" s="17" t="inlineStr">
        <is>
          <t>Admin bookings list screens</t>
        </is>
      </c>
      <c r="F46" s="18" t="inlineStr">
        <is>
          <t>Week 2</t>
        </is>
      </c>
      <c r="G46" s="17" t="inlineStr">
        <is>
          <t>20–26 Aug 2026</t>
        </is>
      </c>
      <c r="H46" s="23" t="inlineStr">
        <is>
          <t>Not started</t>
        </is>
      </c>
    </row>
    <row r="47" ht="20" customHeight="1">
      <c r="A47" s="15" t="inlineStr">
        <is>
          <t>bf3</t>
        </is>
      </c>
      <c r="B47" s="21" t="inlineStr">
        <is>
          <t>Frontend</t>
        </is>
      </c>
      <c r="C47" s="14" t="inlineStr">
        <is>
          <t>Booking</t>
        </is>
      </c>
      <c r="D47" s="14" t="inlineStr">
        <is>
          <t>booking</t>
        </is>
      </c>
      <c r="E47" s="14" t="inlineStr">
        <is>
          <t>Admin assign vehicle/driver UI</t>
        </is>
      </c>
      <c r="F47" s="15" t="inlineStr">
        <is>
          <t>Week 4</t>
        </is>
      </c>
      <c r="G47" s="14" t="inlineStr">
        <is>
          <t>3–9 Sep 2026</t>
        </is>
      </c>
      <c r="H47" s="23" t="inlineStr">
        <is>
          <t>Not started</t>
        </is>
      </c>
    </row>
    <row r="48" ht="20" customHeight="1">
      <c r="A48" s="18" t="inlineStr">
        <is>
          <t>p1</t>
        </is>
      </c>
      <c r="B48" s="20" t="inlineStr">
        <is>
          <t>Backend</t>
        </is>
      </c>
      <c r="C48" s="17" t="inlineStr">
        <is>
          <t>Payments</t>
        </is>
      </c>
      <c r="D48" s="17" t="inlineStr">
        <is>
          <t>payment</t>
        </is>
      </c>
      <c r="E48" s="17" t="inlineStr">
        <is>
          <t>Payments API spec</t>
        </is>
      </c>
      <c r="F48" s="18" t="inlineStr">
        <is>
          <t>Week 2</t>
        </is>
      </c>
      <c r="G48" s="17" t="inlineStr">
        <is>
          <t>20–26 Aug 2026</t>
        </is>
      </c>
      <c r="H48" s="21" t="inlineStr">
        <is>
          <t>Completed</t>
        </is>
      </c>
    </row>
    <row r="49" ht="20" customHeight="1">
      <c r="A49" s="15" t="inlineStr">
        <is>
          <t>p2</t>
        </is>
      </c>
      <c r="B49" s="20" t="inlineStr">
        <is>
          <t>Backend</t>
        </is>
      </c>
      <c r="C49" s="14" t="inlineStr">
        <is>
          <t>Payments</t>
        </is>
      </c>
      <c r="D49" s="14" t="inlineStr">
        <is>
          <t>payment</t>
        </is>
      </c>
      <c r="E49" s="14" t="inlineStr">
        <is>
          <t>Payment Nest stub</t>
        </is>
      </c>
      <c r="F49" s="15" t="inlineStr">
        <is>
          <t>Week 2</t>
        </is>
      </c>
      <c r="G49" s="14" t="inlineStr">
        <is>
          <t>20–26 Aug 2026</t>
        </is>
      </c>
      <c r="H49" s="21" t="inlineStr">
        <is>
          <t>Completed</t>
        </is>
      </c>
    </row>
    <row r="50" ht="20" customHeight="1">
      <c r="A50" s="18" t="inlineStr">
        <is>
          <t>p3</t>
        </is>
      </c>
      <c r="B50" s="20" t="inlineStr">
        <is>
          <t>Backend</t>
        </is>
      </c>
      <c r="C50" s="17" t="inlineStr">
        <is>
          <t>Payments</t>
        </is>
      </c>
      <c r="D50" s="17" t="inlineStr">
        <is>
          <t>payment</t>
        </is>
      </c>
      <c r="E50" s="17" t="inlineStr">
        <is>
          <t>Razorpay order + webhook (idempotent)</t>
        </is>
      </c>
      <c r="F50" s="18" t="inlineStr">
        <is>
          <t>Week 2</t>
        </is>
      </c>
      <c r="G50" s="17" t="inlineStr">
        <is>
          <t>20–26 Aug 2026</t>
        </is>
      </c>
      <c r="H50" s="23" t="inlineStr">
        <is>
          <t>Not started</t>
        </is>
      </c>
    </row>
    <row r="51" ht="20" customHeight="1">
      <c r="A51" s="15" t="inlineStr">
        <is>
          <t>p4</t>
        </is>
      </c>
      <c r="B51" s="20" t="inlineStr">
        <is>
          <t>Backend</t>
        </is>
      </c>
      <c r="C51" s="14" t="inlineStr">
        <is>
          <t>Payments</t>
        </is>
      </c>
      <c r="D51" s="14" t="inlineStr">
        <is>
          <t>payment</t>
        </is>
      </c>
      <c r="E51" s="14" t="inlineStr">
        <is>
          <t>Token invoice + verify APIs</t>
        </is>
      </c>
      <c r="F51" s="15" t="inlineStr">
        <is>
          <t>Week 2</t>
        </is>
      </c>
      <c r="G51" s="14" t="inlineStr">
        <is>
          <t>20–26 Aug 2026</t>
        </is>
      </c>
      <c r="H51" s="23" t="inlineStr">
        <is>
          <t>Not started</t>
        </is>
      </c>
    </row>
    <row r="52" ht="20" customHeight="1">
      <c r="A52" s="18" t="inlineStr">
        <is>
          <t>p5</t>
        </is>
      </c>
      <c r="B52" s="20" t="inlineStr">
        <is>
          <t>Backend</t>
        </is>
      </c>
      <c r="C52" s="17" t="inlineStr">
        <is>
          <t>Payments</t>
        </is>
      </c>
      <c r="D52" s="17" t="inlineStr">
        <is>
          <t>payment</t>
        </is>
      </c>
      <c r="E52" s="17" t="inlineStr">
        <is>
          <t>Refund path for cancel before handover</t>
        </is>
      </c>
      <c r="F52" s="18" t="inlineStr">
        <is>
          <t>Week 4</t>
        </is>
      </c>
      <c r="G52" s="17" t="inlineStr">
        <is>
          <t>3–9 Sep 2026</t>
        </is>
      </c>
      <c r="H52" s="23" t="inlineStr">
        <is>
          <t>Not started</t>
        </is>
      </c>
    </row>
    <row r="53" ht="20" customHeight="1">
      <c r="A53" s="15" t="inlineStr">
        <is>
          <t>pf1</t>
        </is>
      </c>
      <c r="B53" s="21" t="inlineStr">
        <is>
          <t>Frontend</t>
        </is>
      </c>
      <c r="C53" s="14" t="inlineStr">
        <is>
          <t>Payments</t>
        </is>
      </c>
      <c r="D53" s="14" t="inlineStr">
        <is>
          <t>payment</t>
        </is>
      </c>
      <c r="E53" s="14" t="inlineStr">
        <is>
          <t>Checkout pay + success poll UI</t>
        </is>
      </c>
      <c r="F53" s="15" t="inlineStr">
        <is>
          <t>Week 2</t>
        </is>
      </c>
      <c r="G53" s="14" t="inlineStr">
        <is>
          <t>20–26 Aug 2026</t>
        </is>
      </c>
      <c r="H53" s="23" t="inlineStr">
        <is>
          <t>Not started</t>
        </is>
      </c>
    </row>
    <row r="54" ht="20" customHeight="1">
      <c r="A54" s="18" t="inlineStr">
        <is>
          <t>sub1</t>
        </is>
      </c>
      <c r="B54" s="20" t="inlineStr">
        <is>
          <t>Backend</t>
        </is>
      </c>
      <c r="C54" s="17" t="inlineStr">
        <is>
          <t>Subscription</t>
        </is>
      </c>
      <c r="D54" s="17" t="inlineStr">
        <is>
          <t>booking</t>
        </is>
      </c>
      <c r="E54" s="17" t="inlineStr">
        <is>
          <t>Subscription API spec</t>
        </is>
      </c>
      <c r="F54" s="18" t="inlineStr">
        <is>
          <t>Later</t>
        </is>
      </c>
      <c r="G54" s="17" t="inlineStr">
        <is>
          <t>After 9 Sep 2026</t>
        </is>
      </c>
      <c r="H54" s="21" t="inlineStr">
        <is>
          <t>Completed</t>
        </is>
      </c>
    </row>
    <row r="55" ht="20" customHeight="1">
      <c r="A55" s="15" t="inlineStr">
        <is>
          <t>sub2</t>
        </is>
      </c>
      <c r="B55" s="20" t="inlineStr">
        <is>
          <t>Backend</t>
        </is>
      </c>
      <c r="C55" s="14" t="inlineStr">
        <is>
          <t>Subscription</t>
        </is>
      </c>
      <c r="D55" s="14" t="inlineStr">
        <is>
          <t>booking</t>
        </is>
      </c>
      <c r="E55" s="14" t="inlineStr">
        <is>
          <t>Plans + tenure booking APIs</t>
        </is>
      </c>
      <c r="F55" s="15" t="inlineStr">
        <is>
          <t>Later</t>
        </is>
      </c>
      <c r="G55" s="14" t="inlineStr">
        <is>
          <t>After 9 Sep 2026</t>
        </is>
      </c>
      <c r="H55" s="23" t="inlineStr">
        <is>
          <t>Not started</t>
        </is>
      </c>
    </row>
    <row r="56" ht="20" customHeight="1">
      <c r="A56" s="18" t="inlineStr">
        <is>
          <t>sub3</t>
        </is>
      </c>
      <c r="B56" s="20" t="inlineStr">
        <is>
          <t>Backend</t>
        </is>
      </c>
      <c r="C56" s="17" t="inlineStr">
        <is>
          <t>Subscription</t>
        </is>
      </c>
      <c r="D56" s="17" t="inlineStr">
        <is>
          <t>booking</t>
        </is>
      </c>
      <c r="E56" s="17" t="inlineStr">
        <is>
          <t>Swap / early close policy APIs</t>
        </is>
      </c>
      <c r="F56" s="18" t="inlineStr">
        <is>
          <t>Later</t>
        </is>
      </c>
      <c r="G56" s="17" t="inlineStr">
        <is>
          <t>After 9 Sep 2026</t>
        </is>
      </c>
      <c r="H56" s="23" t="inlineStr">
        <is>
          <t>Not started</t>
        </is>
      </c>
    </row>
    <row r="57" ht="20" customHeight="1">
      <c r="A57" s="15" t="inlineStr">
        <is>
          <t>subf1</t>
        </is>
      </c>
      <c r="B57" s="21" t="inlineStr">
        <is>
          <t>Frontend</t>
        </is>
      </c>
      <c r="C57" s="14" t="inlineStr">
        <is>
          <t>Subscription</t>
        </is>
      </c>
      <c r="D57" s="14" t="inlineStr">
        <is>
          <t>booking</t>
        </is>
      </c>
      <c r="E57" s="14" t="inlineStr">
        <is>
          <t>Subscription plans + checkout UI</t>
        </is>
      </c>
      <c r="F57" s="15" t="inlineStr">
        <is>
          <t>Later</t>
        </is>
      </c>
      <c r="G57" s="14" t="inlineStr">
        <is>
          <t>After 9 Sep 2026</t>
        </is>
      </c>
      <c r="H57" s="23" t="inlineStr">
        <is>
          <t>Not started</t>
        </is>
      </c>
    </row>
    <row r="58" ht="20" customHeight="1">
      <c r="A58" s="18" t="inlineStr">
        <is>
          <t>air1</t>
        </is>
      </c>
      <c r="B58" s="20" t="inlineStr">
        <is>
          <t>Backend</t>
        </is>
      </c>
      <c r="C58" s="17" t="inlineStr">
        <is>
          <t>Airport</t>
        </is>
      </c>
      <c r="D58" s="17" t="inlineStr">
        <is>
          <t>booking</t>
        </is>
      </c>
      <c r="E58" s="17" t="inlineStr">
        <is>
          <t>Airport / outstation API spec</t>
        </is>
      </c>
      <c r="F58" s="18" t="inlineStr">
        <is>
          <t>Week 4</t>
        </is>
      </c>
      <c r="G58" s="17" t="inlineStr">
        <is>
          <t>3–9 Sep 2026</t>
        </is>
      </c>
      <c r="H58" s="21" t="inlineStr">
        <is>
          <t>Completed</t>
        </is>
      </c>
    </row>
    <row r="59" ht="20" customHeight="1">
      <c r="A59" s="15" t="inlineStr">
        <is>
          <t>air2</t>
        </is>
      </c>
      <c r="B59" s="20" t="inlineStr">
        <is>
          <t>Backend</t>
        </is>
      </c>
      <c r="C59" s="14" t="inlineStr">
        <is>
          <t>Airport</t>
        </is>
      </c>
      <c r="D59" s="14" t="inlineStr">
        <is>
          <t>booking</t>
        </is>
      </c>
      <c r="E59" s="14" t="inlineStr">
        <is>
          <t>Airport / one-way rate table APIs</t>
        </is>
      </c>
      <c r="F59" s="15" t="inlineStr">
        <is>
          <t>Week 4</t>
        </is>
      </c>
      <c r="G59" s="14" t="inlineStr">
        <is>
          <t>3–9 Sep 2026</t>
        </is>
      </c>
      <c r="H59" s="23" t="inlineStr">
        <is>
          <t>Not started</t>
        </is>
      </c>
    </row>
    <row r="60" ht="20" customHeight="1">
      <c r="A60" s="18" t="inlineStr">
        <is>
          <t>air3</t>
        </is>
      </c>
      <c r="B60" s="20" t="inlineStr">
        <is>
          <t>Backend</t>
        </is>
      </c>
      <c r="C60" s="17" t="inlineStr">
        <is>
          <t>Airport</t>
        </is>
      </c>
      <c r="D60" s="17" t="inlineStr">
        <is>
          <t>booking</t>
        </is>
      </c>
      <c r="E60" s="17" t="inlineStr">
        <is>
          <t>Tour package APIs</t>
        </is>
      </c>
      <c r="F60" s="18" t="inlineStr">
        <is>
          <t>Later</t>
        </is>
      </c>
      <c r="G60" s="17" t="inlineStr">
        <is>
          <t>After 9 Sep 2026</t>
        </is>
      </c>
      <c r="H60" s="23" t="inlineStr">
        <is>
          <t>Not started</t>
        </is>
      </c>
    </row>
    <row r="61" ht="20" customHeight="1">
      <c r="A61" s="15" t="inlineStr">
        <is>
          <t>airf1</t>
        </is>
      </c>
      <c r="B61" s="21" t="inlineStr">
        <is>
          <t>Frontend</t>
        </is>
      </c>
      <c r="C61" s="14" t="inlineStr">
        <is>
          <t>Airport</t>
        </is>
      </c>
      <c r="D61" s="14" t="inlineStr">
        <is>
          <t>booking</t>
        </is>
      </c>
      <c r="E61" s="14" t="inlineStr">
        <is>
          <t>Airport / one-way search options UI</t>
        </is>
      </c>
      <c r="F61" s="15" t="inlineStr">
        <is>
          <t>Week 4</t>
        </is>
      </c>
      <c r="G61" s="14" t="inlineStr">
        <is>
          <t>3–9 Sep 2026</t>
        </is>
      </c>
      <c r="H61" s="23" t="inlineStr">
        <is>
          <t>Not started</t>
        </is>
      </c>
    </row>
    <row r="62" ht="20" customHeight="1">
      <c r="A62" s="18" t="inlineStr">
        <is>
          <t>k1</t>
        </is>
      </c>
      <c r="B62" s="20" t="inlineStr">
        <is>
          <t>Backend</t>
        </is>
      </c>
      <c r="C62" s="17" t="inlineStr">
        <is>
          <t>KYC</t>
        </is>
      </c>
      <c r="D62" s="17" t="inlineStr">
        <is>
          <t>document</t>
        </is>
      </c>
      <c r="E62" s="17" t="inlineStr">
        <is>
          <t>KYC API spec</t>
        </is>
      </c>
      <c r="F62" s="18" t="inlineStr">
        <is>
          <t>Week 3</t>
        </is>
      </c>
      <c r="G62" s="17" t="inlineStr">
        <is>
          <t>27 Aug–2 Sep 2026</t>
        </is>
      </c>
      <c r="H62" s="21" t="inlineStr">
        <is>
          <t>Completed</t>
        </is>
      </c>
    </row>
    <row r="63" ht="20" customHeight="1">
      <c r="A63" s="15" t="inlineStr">
        <is>
          <t>k2</t>
        </is>
      </c>
      <c r="B63" s="20" t="inlineStr">
        <is>
          <t>Backend</t>
        </is>
      </c>
      <c r="C63" s="14" t="inlineStr">
        <is>
          <t>KYC</t>
        </is>
      </c>
      <c r="D63" s="14" t="inlineStr">
        <is>
          <t>document</t>
        </is>
      </c>
      <c r="E63" s="14" t="inlineStr">
        <is>
          <t>Document Nest stub</t>
        </is>
      </c>
      <c r="F63" s="15" t="inlineStr">
        <is>
          <t>Week 3</t>
        </is>
      </c>
      <c r="G63" s="14" t="inlineStr">
        <is>
          <t>27 Aug–2 Sep 2026</t>
        </is>
      </c>
      <c r="H63" s="21" t="inlineStr">
        <is>
          <t>Completed</t>
        </is>
      </c>
    </row>
    <row r="64" ht="20" customHeight="1">
      <c r="A64" s="18" t="inlineStr">
        <is>
          <t>k3</t>
        </is>
      </c>
      <c r="B64" s="20" t="inlineStr">
        <is>
          <t>Backend</t>
        </is>
      </c>
      <c r="C64" s="17" t="inlineStr">
        <is>
          <t>KYC</t>
        </is>
      </c>
      <c r="D64" s="17" t="inlineStr">
        <is>
          <t>document</t>
        </is>
      </c>
      <c r="E64" s="17" t="inlineStr">
        <is>
          <t>Upload + admin approve/reject APIs</t>
        </is>
      </c>
      <c r="F64" s="18" t="inlineStr">
        <is>
          <t>Week 3</t>
        </is>
      </c>
      <c r="G64" s="17" t="inlineStr">
        <is>
          <t>27 Aug–2 Sep 2026</t>
        </is>
      </c>
      <c r="H64" s="23" t="inlineStr">
        <is>
          <t>Not started</t>
        </is>
      </c>
    </row>
    <row r="65" ht="20" customHeight="1">
      <c r="A65" s="15" t="inlineStr">
        <is>
          <t>k4</t>
        </is>
      </c>
      <c r="B65" s="20" t="inlineStr">
        <is>
          <t>Backend</t>
        </is>
      </c>
      <c r="C65" s="14" t="inlineStr">
        <is>
          <t>KYC</t>
        </is>
      </c>
      <c r="D65" s="14" t="inlineStr">
        <is>
          <t>document</t>
        </is>
      </c>
      <c r="E65" s="14" t="inlineStr">
        <is>
          <t>Gate booking on AWAITING_KYC</t>
        </is>
      </c>
      <c r="F65" s="15" t="inlineStr">
        <is>
          <t>Week 3</t>
        </is>
      </c>
      <c r="G65" s="14" t="inlineStr">
        <is>
          <t>27 Aug–2 Sep 2026</t>
        </is>
      </c>
      <c r="H65" s="23" t="inlineStr">
        <is>
          <t>Not started</t>
        </is>
      </c>
    </row>
    <row r="66" ht="20" customHeight="1">
      <c r="A66" s="18" t="inlineStr">
        <is>
          <t>kf1</t>
        </is>
      </c>
      <c r="B66" s="21" t="inlineStr">
        <is>
          <t>Frontend</t>
        </is>
      </c>
      <c r="C66" s="17" t="inlineStr">
        <is>
          <t>KYC</t>
        </is>
      </c>
      <c r="D66" s="17" t="inlineStr">
        <is>
          <t>document</t>
        </is>
      </c>
      <c r="E66" s="17" t="inlineStr">
        <is>
          <t>Customer KYC upload UI</t>
        </is>
      </c>
      <c r="F66" s="18" t="inlineStr">
        <is>
          <t>Week 3</t>
        </is>
      </c>
      <c r="G66" s="17" t="inlineStr">
        <is>
          <t>27 Aug–2 Sep 2026</t>
        </is>
      </c>
      <c r="H66" s="23" t="inlineStr">
        <is>
          <t>Not started</t>
        </is>
      </c>
    </row>
    <row r="67" ht="20" customHeight="1">
      <c r="A67" s="15" t="inlineStr">
        <is>
          <t>kf2</t>
        </is>
      </c>
      <c r="B67" s="21" t="inlineStr">
        <is>
          <t>Frontend</t>
        </is>
      </c>
      <c r="C67" s="14" t="inlineStr">
        <is>
          <t>KYC</t>
        </is>
      </c>
      <c r="D67" s="14" t="inlineStr">
        <is>
          <t>document</t>
        </is>
      </c>
      <c r="E67" s="14" t="inlineStr">
        <is>
          <t>Admin KYC review screens</t>
        </is>
      </c>
      <c r="F67" s="15" t="inlineStr">
        <is>
          <t>Week 3</t>
        </is>
      </c>
      <c r="G67" s="14" t="inlineStr">
        <is>
          <t>27 Aug–2 Sep 2026</t>
        </is>
      </c>
      <c r="H67" s="23" t="inlineStr">
        <is>
          <t>Not started</t>
        </is>
      </c>
    </row>
    <row r="68" ht="20" customHeight="1">
      <c r="A68" s="18" t="inlineStr">
        <is>
          <t>e1</t>
        </is>
      </c>
      <c r="B68" s="20" t="inlineStr">
        <is>
          <t>Backend</t>
        </is>
      </c>
      <c r="C68" s="17" t="inlineStr">
        <is>
          <t>E-sign</t>
        </is>
      </c>
      <c r="D68" s="17" t="inlineStr">
        <is>
          <t>document</t>
        </is>
      </c>
      <c r="E68" s="17" t="inlineStr">
        <is>
          <t>E-sign API spec</t>
        </is>
      </c>
      <c r="F68" s="18" t="inlineStr">
        <is>
          <t>Week 3</t>
        </is>
      </c>
      <c r="G68" s="17" t="inlineStr">
        <is>
          <t>27 Aug–2 Sep 2026</t>
        </is>
      </c>
      <c r="H68" s="21" t="inlineStr">
        <is>
          <t>Completed</t>
        </is>
      </c>
    </row>
    <row r="69" ht="20" customHeight="1">
      <c r="A69" s="15" t="inlineStr">
        <is>
          <t>e2</t>
        </is>
      </c>
      <c r="B69" s="20" t="inlineStr">
        <is>
          <t>Backend</t>
        </is>
      </c>
      <c r="C69" s="14" t="inlineStr">
        <is>
          <t>E-sign</t>
        </is>
      </c>
      <c r="D69" s="14" t="inlineStr">
        <is>
          <t>document</t>
        </is>
      </c>
      <c r="E69" s="14" t="inlineStr">
        <is>
          <t>Agreement PDF from booking snapshot</t>
        </is>
      </c>
      <c r="F69" s="15" t="inlineStr">
        <is>
          <t>Week 3</t>
        </is>
      </c>
      <c r="G69" s="14" t="inlineStr">
        <is>
          <t>27 Aug–2 Sep 2026</t>
        </is>
      </c>
      <c r="H69" s="23" t="inlineStr">
        <is>
          <t>Not started</t>
        </is>
      </c>
    </row>
    <row r="70" ht="20" customHeight="1">
      <c r="A70" s="18" t="inlineStr">
        <is>
          <t>e3</t>
        </is>
      </c>
      <c r="B70" s="20" t="inlineStr">
        <is>
          <t>Backend</t>
        </is>
      </c>
      <c r="C70" s="17" t="inlineStr">
        <is>
          <t>E-sign</t>
        </is>
      </c>
      <c r="D70" s="17" t="inlineStr">
        <is>
          <t>document</t>
        </is>
      </c>
      <c r="E70" s="17" t="inlineStr">
        <is>
          <t>Leegality send + webhook</t>
        </is>
      </c>
      <c r="F70" s="18" t="inlineStr">
        <is>
          <t>Week 3</t>
        </is>
      </c>
      <c r="G70" s="17" t="inlineStr">
        <is>
          <t>27 Aug–2 Sep 2026</t>
        </is>
      </c>
      <c r="H70" s="23" t="inlineStr">
        <is>
          <t>Not started</t>
        </is>
      </c>
    </row>
    <row r="71" ht="20" customHeight="1">
      <c r="A71" s="15" t="inlineStr">
        <is>
          <t>e4</t>
        </is>
      </c>
      <c r="B71" s="20" t="inlineStr">
        <is>
          <t>Backend</t>
        </is>
      </c>
      <c r="C71" s="14" t="inlineStr">
        <is>
          <t>E-sign</t>
        </is>
      </c>
      <c r="D71" s="14" t="inlineStr">
        <is>
          <t>document</t>
        </is>
      </c>
      <c r="E71" s="14" t="inlineStr">
        <is>
          <t>Advance to CONFIRMED after sign</t>
        </is>
      </c>
      <c r="F71" s="15" t="inlineStr">
        <is>
          <t>Week 3</t>
        </is>
      </c>
      <c r="G71" s="14" t="inlineStr">
        <is>
          <t>27 Aug–2 Sep 2026</t>
        </is>
      </c>
      <c r="H71" s="23" t="inlineStr">
        <is>
          <t>Not started</t>
        </is>
      </c>
    </row>
    <row r="72" ht="20" customHeight="1">
      <c r="A72" s="18" t="inlineStr">
        <is>
          <t>ef1</t>
        </is>
      </c>
      <c r="B72" s="21" t="inlineStr">
        <is>
          <t>Frontend</t>
        </is>
      </c>
      <c r="C72" s="17" t="inlineStr">
        <is>
          <t>E-sign</t>
        </is>
      </c>
      <c r="D72" s="17" t="inlineStr">
        <is>
          <t>document</t>
        </is>
      </c>
      <c r="E72" s="17" t="inlineStr">
        <is>
          <t>Customer sign / status page</t>
        </is>
      </c>
      <c r="F72" s="18" t="inlineStr">
        <is>
          <t>Week 3</t>
        </is>
      </c>
      <c r="G72" s="17" t="inlineStr">
        <is>
          <t>27 Aug–2 Sep 2026</t>
        </is>
      </c>
      <c r="H72" s="23" t="inlineStr">
        <is>
          <t>Not started</t>
        </is>
      </c>
    </row>
    <row r="73" ht="20" customHeight="1">
      <c r="A73" s="15" t="inlineStr">
        <is>
          <t>fl1</t>
        </is>
      </c>
      <c r="B73" s="20" t="inlineStr">
        <is>
          <t>Backend</t>
        </is>
      </c>
      <c r="C73" s="14" t="inlineStr">
        <is>
          <t>Fleet</t>
        </is>
      </c>
      <c r="D73" s="14" t="inlineStr">
        <is>
          <t>fleet</t>
        </is>
      </c>
      <c r="E73" s="14" t="inlineStr">
        <is>
          <t>Fleet API spec</t>
        </is>
      </c>
      <c r="F73" s="15" t="inlineStr">
        <is>
          <t>Week 1</t>
        </is>
      </c>
      <c r="G73" s="14" t="inlineStr">
        <is>
          <t>13–19 Aug 2026</t>
        </is>
      </c>
      <c r="H73" s="21" t="inlineStr">
        <is>
          <t>Completed</t>
        </is>
      </c>
    </row>
    <row r="74" ht="20" customHeight="1">
      <c r="A74" s="18" t="inlineStr">
        <is>
          <t>fl2</t>
        </is>
      </c>
      <c r="B74" s="20" t="inlineStr">
        <is>
          <t>Backend</t>
        </is>
      </c>
      <c r="C74" s="17" t="inlineStr">
        <is>
          <t>Fleet</t>
        </is>
      </c>
      <c r="D74" s="17" t="inlineStr">
        <is>
          <t>fleet</t>
        </is>
      </c>
      <c r="E74" s="17" t="inlineStr">
        <is>
          <t>Fleet Nest stub</t>
        </is>
      </c>
      <c r="F74" s="18" t="inlineStr">
        <is>
          <t>Week 1</t>
        </is>
      </c>
      <c r="G74" s="17" t="inlineStr">
        <is>
          <t>13–19 Aug 2026</t>
        </is>
      </c>
      <c r="H74" s="21" t="inlineStr">
        <is>
          <t>Completed</t>
        </is>
      </c>
    </row>
    <row r="75" ht="20" customHeight="1">
      <c r="A75" s="15" t="inlineStr">
        <is>
          <t>fl3</t>
        </is>
      </c>
      <c r="B75" s="20" t="inlineStr">
        <is>
          <t>Backend</t>
        </is>
      </c>
      <c r="C75" s="14" t="inlineStr">
        <is>
          <t>Fleet</t>
        </is>
      </c>
      <c r="D75" s="14" t="inlineStr">
        <is>
          <t>fleet</t>
        </is>
      </c>
      <c r="E75" s="14" t="inlineStr">
        <is>
          <t>City, Branch, Vehicle APIs</t>
        </is>
      </c>
      <c r="F75" s="15" t="inlineStr">
        <is>
          <t>Week 1</t>
        </is>
      </c>
      <c r="G75" s="14" t="inlineStr">
        <is>
          <t>13–19 Aug 2026</t>
        </is>
      </c>
      <c r="H75" s="23" t="inlineStr">
        <is>
          <t>Not started</t>
        </is>
      </c>
    </row>
    <row r="76" ht="20" customHeight="1">
      <c r="A76" s="18" t="inlineStr">
        <is>
          <t>fl5</t>
        </is>
      </c>
      <c r="B76" s="20" t="inlineStr">
        <is>
          <t>Backend</t>
        </is>
      </c>
      <c r="C76" s="17" t="inlineStr">
        <is>
          <t>Fleet</t>
        </is>
      </c>
      <c r="D76" s="17" t="inlineStr">
        <is>
          <t>fleet</t>
        </is>
      </c>
      <c r="E76" s="17" t="inlineStr">
        <is>
          <t>Assign vehicle to confirmed booking API</t>
        </is>
      </c>
      <c r="F76" s="18" t="inlineStr">
        <is>
          <t>Week 4</t>
        </is>
      </c>
      <c r="G76" s="17" t="inlineStr">
        <is>
          <t>3–9 Sep 2026</t>
        </is>
      </c>
      <c r="H76" s="23" t="inlineStr">
        <is>
          <t>Not started</t>
        </is>
      </c>
    </row>
    <row r="77" ht="20" customHeight="1">
      <c r="A77" s="15" t="inlineStr">
        <is>
          <t>flf1</t>
        </is>
      </c>
      <c r="B77" s="21" t="inlineStr">
        <is>
          <t>Frontend</t>
        </is>
      </c>
      <c r="C77" s="14" t="inlineStr">
        <is>
          <t>Fleet</t>
        </is>
      </c>
      <c r="D77" s="14" t="inlineStr">
        <is>
          <t>fleet</t>
        </is>
      </c>
      <c r="E77" s="14" t="inlineStr">
        <is>
          <t>Admin cars + vehicles CRUD screens</t>
        </is>
      </c>
      <c r="F77" s="15" t="inlineStr">
        <is>
          <t>Week 1</t>
        </is>
      </c>
      <c r="G77" s="14" t="inlineStr">
        <is>
          <t>13–19 Aug 2026</t>
        </is>
      </c>
      <c r="H77" s="23" t="inlineStr">
        <is>
          <t>Not started</t>
        </is>
      </c>
    </row>
    <row r="78" ht="20" customHeight="1">
      <c r="A78" s="18" t="inlineStr">
        <is>
          <t>m1</t>
        </is>
      </c>
      <c r="B78" s="20" t="inlineStr">
        <is>
          <t>Backend</t>
        </is>
      </c>
      <c r="C78" s="17" t="inlineStr">
        <is>
          <t>Workshop</t>
        </is>
      </c>
      <c r="D78" s="17" t="inlineStr">
        <is>
          <t>fleet</t>
        </is>
      </c>
      <c r="E78" s="17" t="inlineStr">
        <is>
          <t>Workshop API spec</t>
        </is>
      </c>
      <c r="F78" s="18" t="inlineStr">
        <is>
          <t>Later</t>
        </is>
      </c>
      <c r="G78" s="17" t="inlineStr">
        <is>
          <t>After 9 Sep 2026</t>
        </is>
      </c>
      <c r="H78" s="21" t="inlineStr">
        <is>
          <t>Completed</t>
        </is>
      </c>
    </row>
    <row r="79" ht="20" customHeight="1">
      <c r="A79" s="15" t="inlineStr">
        <is>
          <t>m2</t>
        </is>
      </c>
      <c r="B79" s="20" t="inlineStr">
        <is>
          <t>Backend</t>
        </is>
      </c>
      <c r="C79" s="14" t="inlineStr">
        <is>
          <t>Workshop</t>
        </is>
      </c>
      <c r="D79" s="14" t="inlineStr">
        <is>
          <t>fleet</t>
        </is>
      </c>
      <c r="E79" s="14" t="inlineStr">
        <is>
          <t>Jobs + workshop calendar APIs</t>
        </is>
      </c>
      <c r="F79" s="15" t="inlineStr">
        <is>
          <t>Later</t>
        </is>
      </c>
      <c r="G79" s="14" t="inlineStr">
        <is>
          <t>After 9 Sep 2026</t>
        </is>
      </c>
      <c r="H79" s="23" t="inlineStr">
        <is>
          <t>Not started</t>
        </is>
      </c>
    </row>
    <row r="80" ht="20" customHeight="1">
      <c r="A80" s="18" t="inlineStr">
        <is>
          <t>m3</t>
        </is>
      </c>
      <c r="B80" s="20" t="inlineStr">
        <is>
          <t>Backend</t>
        </is>
      </c>
      <c r="C80" s="17" t="inlineStr">
        <is>
          <t>Workshop</t>
        </is>
      </c>
      <c r="D80" s="17" t="inlineStr">
        <is>
          <t>fleet</t>
        </is>
      </c>
      <c r="E80" s="17" t="inlineStr">
        <is>
          <t>Write AvailabilityBlock on schedule</t>
        </is>
      </c>
      <c r="F80" s="18" t="inlineStr">
        <is>
          <t>Later</t>
        </is>
      </c>
      <c r="G80" s="17" t="inlineStr">
        <is>
          <t>After 9 Sep 2026</t>
        </is>
      </c>
      <c r="H80" s="23" t="inlineStr">
        <is>
          <t>Not started</t>
        </is>
      </c>
    </row>
    <row r="81" ht="20" customHeight="1">
      <c r="A81" s="15" t="inlineStr">
        <is>
          <t>mf1</t>
        </is>
      </c>
      <c r="B81" s="21" t="inlineStr">
        <is>
          <t>Frontend</t>
        </is>
      </c>
      <c r="C81" s="14" t="inlineStr">
        <is>
          <t>Workshop</t>
        </is>
      </c>
      <c r="D81" s="14" t="inlineStr">
        <is>
          <t>fleet</t>
        </is>
      </c>
      <c r="E81" s="14" t="inlineStr">
        <is>
          <t>Admin workshop screens</t>
        </is>
      </c>
      <c r="F81" s="15" t="inlineStr">
        <is>
          <t>Later</t>
        </is>
      </c>
      <c r="G81" s="14" t="inlineStr">
        <is>
          <t>After 9 Sep 2026</t>
        </is>
      </c>
      <c r="H81" s="23" t="inlineStr">
        <is>
          <t>Not started</t>
        </is>
      </c>
    </row>
    <row r="82" ht="20" customHeight="1">
      <c r="A82" s="18" t="inlineStr">
        <is>
          <t>h1</t>
        </is>
      </c>
      <c r="B82" s="20" t="inlineStr">
        <is>
          <t>Backend</t>
        </is>
      </c>
      <c r="C82" s="17" t="inlineStr">
        <is>
          <t>Handover</t>
        </is>
      </c>
      <c r="D82" s="17" t="inlineStr">
        <is>
          <t>fleet</t>
        </is>
      </c>
      <c r="E82" s="17" t="inlineStr">
        <is>
          <t>Handover API spec</t>
        </is>
      </c>
      <c r="F82" s="18" t="inlineStr">
        <is>
          <t>Week 4</t>
        </is>
      </c>
      <c r="G82" s="17" t="inlineStr">
        <is>
          <t>3–9 Sep 2026</t>
        </is>
      </c>
      <c r="H82" s="21" t="inlineStr">
        <is>
          <t>Completed</t>
        </is>
      </c>
    </row>
    <row r="83" ht="20" customHeight="1">
      <c r="A83" s="15" t="inlineStr">
        <is>
          <t>h2</t>
        </is>
      </c>
      <c r="B83" s="20" t="inlineStr">
        <is>
          <t>Backend</t>
        </is>
      </c>
      <c r="C83" s="14" t="inlineStr">
        <is>
          <t>Handover</t>
        </is>
      </c>
      <c r="D83" s="14" t="inlineStr">
        <is>
          <t>fleet</t>
        </is>
      </c>
      <c r="E83" s="14" t="inlineStr">
        <is>
          <t>Handover API: odometer + photos</t>
        </is>
      </c>
      <c r="F83" s="15" t="inlineStr">
        <is>
          <t>Week 4</t>
        </is>
      </c>
      <c r="G83" s="14" t="inlineStr">
        <is>
          <t>3–9 Sep 2026</t>
        </is>
      </c>
      <c r="H83" s="23" t="inlineStr">
        <is>
          <t>Not started</t>
        </is>
      </c>
    </row>
    <row r="84" ht="20" customHeight="1">
      <c r="A84" s="18" t="inlineStr">
        <is>
          <t>h3</t>
        </is>
      </c>
      <c r="B84" s="20" t="inlineStr">
        <is>
          <t>Backend</t>
        </is>
      </c>
      <c r="C84" s="17" t="inlineStr">
        <is>
          <t>Handover</t>
        </is>
      </c>
      <c r="D84" s="17" t="inlineStr">
        <is>
          <t>fleet</t>
        </is>
      </c>
      <c r="E84" s="17" t="inlineStr">
        <is>
          <t>Return + close booking API</t>
        </is>
      </c>
      <c r="F84" s="18" t="inlineStr">
        <is>
          <t>Week 4</t>
        </is>
      </c>
      <c r="G84" s="17" t="inlineStr">
        <is>
          <t>3–9 Sep 2026</t>
        </is>
      </c>
      <c r="H84" s="23" t="inlineStr">
        <is>
          <t>Not started</t>
        </is>
      </c>
    </row>
    <row r="85" ht="20" customHeight="1">
      <c r="A85" s="15" t="inlineStr">
        <is>
          <t>hf1</t>
        </is>
      </c>
      <c r="B85" s="21" t="inlineStr">
        <is>
          <t>Frontend</t>
        </is>
      </c>
      <c r="C85" s="14" t="inlineStr">
        <is>
          <t>Handover</t>
        </is>
      </c>
      <c r="D85" s="14" t="inlineStr">
        <is>
          <t>fleet</t>
        </is>
      </c>
      <c r="E85" s="14" t="inlineStr">
        <is>
          <t>Admin handover / return screens</t>
        </is>
      </c>
      <c r="F85" s="15" t="inlineStr">
        <is>
          <t>Week 4</t>
        </is>
      </c>
      <c r="G85" s="14" t="inlineStr">
        <is>
          <t>3–9 Sep 2026</t>
        </is>
      </c>
      <c r="H85" s="23" t="inlineStr">
        <is>
          <t>Not started</t>
        </is>
      </c>
    </row>
    <row r="86" ht="20" customHeight="1">
      <c r="A86" s="18" t="inlineStr">
        <is>
          <t>dr1</t>
        </is>
      </c>
      <c r="B86" s="20" t="inlineStr">
        <is>
          <t>Backend</t>
        </is>
      </c>
      <c r="C86" s="17" t="inlineStr">
        <is>
          <t>Drivers</t>
        </is>
      </c>
      <c r="D86" s="17" t="inlineStr">
        <is>
          <t>fleet</t>
        </is>
      </c>
      <c r="E86" s="17" t="inlineStr">
        <is>
          <t>Drivers API spec</t>
        </is>
      </c>
      <c r="F86" s="18" t="inlineStr">
        <is>
          <t>Week 4</t>
        </is>
      </c>
      <c r="G86" s="17" t="inlineStr">
        <is>
          <t>3–9 Sep 2026</t>
        </is>
      </c>
      <c r="H86" s="21" t="inlineStr">
        <is>
          <t>Completed</t>
        </is>
      </c>
    </row>
    <row r="87" ht="20" customHeight="1">
      <c r="A87" s="15" t="inlineStr">
        <is>
          <t>dr2</t>
        </is>
      </c>
      <c r="B87" s="20" t="inlineStr">
        <is>
          <t>Backend</t>
        </is>
      </c>
      <c r="C87" s="14" t="inlineStr">
        <is>
          <t>Drivers</t>
        </is>
      </c>
      <c r="D87" s="14" t="inlineStr">
        <is>
          <t>fleet</t>
        </is>
      </c>
      <c r="E87" s="14" t="inlineStr">
        <is>
          <t>Driver roster + assign APIs</t>
        </is>
      </c>
      <c r="F87" s="15" t="inlineStr">
        <is>
          <t>Week 4</t>
        </is>
      </c>
      <c r="G87" s="14" t="inlineStr">
        <is>
          <t>3–9 Sep 2026</t>
        </is>
      </c>
      <c r="H87" s="23" t="inlineStr">
        <is>
          <t>Not started</t>
        </is>
      </c>
    </row>
    <row r="88" ht="20" customHeight="1">
      <c r="A88" s="18" t="inlineStr">
        <is>
          <t>drf1</t>
        </is>
      </c>
      <c r="B88" s="21" t="inlineStr">
        <is>
          <t>Frontend</t>
        </is>
      </c>
      <c r="C88" s="17" t="inlineStr">
        <is>
          <t>Drivers</t>
        </is>
      </c>
      <c r="D88" s="17" t="inlineStr">
        <is>
          <t>fleet</t>
        </is>
      </c>
      <c r="E88" s="17" t="inlineStr">
        <is>
          <t>Admin driver roster screens</t>
        </is>
      </c>
      <c r="F88" s="18" t="inlineStr">
        <is>
          <t>Week 4</t>
        </is>
      </c>
      <c r="G88" s="17" t="inlineStr">
        <is>
          <t>3–9 Sep 2026</t>
        </is>
      </c>
      <c r="H88" s="23" t="inlineStr">
        <is>
          <t>Not started</t>
        </is>
      </c>
    </row>
    <row r="89" ht="20" customHeight="1">
      <c r="A89" s="15" t="inlineStr">
        <is>
          <t>pt1</t>
        </is>
      </c>
      <c r="B89" s="20" t="inlineStr">
        <is>
          <t>Backend</t>
        </is>
      </c>
      <c r="C89" s="14" t="inlineStr">
        <is>
          <t>Partners</t>
        </is>
      </c>
      <c r="D89" s="14" t="inlineStr">
        <is>
          <t>partner</t>
        </is>
      </c>
      <c r="E89" s="14" t="inlineStr">
        <is>
          <t>Partners API spec</t>
        </is>
      </c>
      <c r="F89" s="15" t="inlineStr">
        <is>
          <t>Later</t>
        </is>
      </c>
      <c r="G89" s="14" t="inlineStr">
        <is>
          <t>After 9 Sep 2026</t>
        </is>
      </c>
      <c r="H89" s="21" t="inlineStr">
        <is>
          <t>Completed</t>
        </is>
      </c>
    </row>
    <row r="90" ht="20" customHeight="1">
      <c r="A90" s="18" t="inlineStr">
        <is>
          <t>pt2</t>
        </is>
      </c>
      <c r="B90" s="20" t="inlineStr">
        <is>
          <t>Backend</t>
        </is>
      </c>
      <c r="C90" s="17" t="inlineStr">
        <is>
          <t>Partners</t>
        </is>
      </c>
      <c r="D90" s="17" t="inlineStr">
        <is>
          <t>partner</t>
        </is>
      </c>
      <c r="E90" s="17" t="inlineStr">
        <is>
          <t>Partner cars + commission ledger APIs</t>
        </is>
      </c>
      <c r="F90" s="18" t="inlineStr">
        <is>
          <t>Later</t>
        </is>
      </c>
      <c r="G90" s="17" t="inlineStr">
        <is>
          <t>After 9 Sep 2026</t>
        </is>
      </c>
      <c r="H90" s="23" t="inlineStr">
        <is>
          <t>Not started</t>
        </is>
      </c>
    </row>
    <row r="91" ht="20" customHeight="1">
      <c r="A91" s="15" t="inlineStr">
        <is>
          <t>pt3</t>
        </is>
      </c>
      <c r="B91" s="20" t="inlineStr">
        <is>
          <t>Backend</t>
        </is>
      </c>
      <c r="C91" s="14" t="inlineStr">
        <is>
          <t>Partners</t>
        </is>
      </c>
      <c r="D91" s="14" t="inlineStr">
        <is>
          <t>partner</t>
        </is>
      </c>
      <c r="E91" s="14" t="inlineStr">
        <is>
          <t>Settlements APIs (no partner portal)</t>
        </is>
      </c>
      <c r="F91" s="15" t="inlineStr">
        <is>
          <t>Later</t>
        </is>
      </c>
      <c r="G91" s="14" t="inlineStr">
        <is>
          <t>After 9 Sep 2026</t>
        </is>
      </c>
      <c r="H91" s="23" t="inlineStr">
        <is>
          <t>Not started</t>
        </is>
      </c>
    </row>
    <row r="92" ht="20" customHeight="1">
      <c r="A92" s="18" t="inlineStr">
        <is>
          <t>ptf1</t>
        </is>
      </c>
      <c r="B92" s="21" t="inlineStr">
        <is>
          <t>Frontend</t>
        </is>
      </c>
      <c r="C92" s="17" t="inlineStr">
        <is>
          <t>Partners</t>
        </is>
      </c>
      <c r="D92" s="17" t="inlineStr">
        <is>
          <t>partner</t>
        </is>
      </c>
      <c r="E92" s="17" t="inlineStr">
        <is>
          <t>Admin partner + settlement screens</t>
        </is>
      </c>
      <c r="F92" s="18" t="inlineStr">
        <is>
          <t>Later</t>
        </is>
      </c>
      <c r="G92" s="17" t="inlineStr">
        <is>
          <t>After 9 Sep 2026</t>
        </is>
      </c>
      <c r="H92" s="23" t="inlineStr">
        <is>
          <t>Not started</t>
        </is>
      </c>
    </row>
    <row r="93" ht="20" customHeight="1">
      <c r="A93" s="15" t="inlineStr">
        <is>
          <t>ad1</t>
        </is>
      </c>
      <c r="B93" s="20" t="inlineStr">
        <is>
          <t>Backend</t>
        </is>
      </c>
      <c r="C93" s="14" t="inlineStr">
        <is>
          <t>Admin</t>
        </is>
      </c>
      <c r="D93" s="14" t="inlineStr">
        <is>
          <t>platform, fleet</t>
        </is>
      </c>
      <c r="E93" s="14" t="inlineStr">
        <is>
          <t>Admin / multi-city spec</t>
        </is>
      </c>
      <c r="F93" s="15" t="inlineStr">
        <is>
          <t>Week 1</t>
        </is>
      </c>
      <c r="G93" s="14" t="inlineStr">
        <is>
          <t>13–19 Aug 2026</t>
        </is>
      </c>
      <c r="H93" s="21" t="inlineStr">
        <is>
          <t>Completed</t>
        </is>
      </c>
    </row>
    <row r="94" ht="20" customHeight="1">
      <c r="A94" s="18" t="inlineStr">
        <is>
          <t>ad4b</t>
        </is>
      </c>
      <c r="B94" s="20" t="inlineStr">
        <is>
          <t>Backend</t>
        </is>
      </c>
      <c r="C94" s="17" t="inlineStr">
        <is>
          <t>Admin</t>
        </is>
      </c>
      <c r="D94" s="17" t="inlineStr">
        <is>
          <t>platform, fleet</t>
        </is>
      </c>
      <c r="E94" s="17" t="inlineStr">
        <is>
          <t>Dashboard KPI APIs</t>
        </is>
      </c>
      <c r="F94" s="18" t="inlineStr">
        <is>
          <t>Week 4</t>
        </is>
      </c>
      <c r="G94" s="17" t="inlineStr">
        <is>
          <t>3–9 Sep 2026</t>
        </is>
      </c>
      <c r="H94" s="23" t="inlineStr">
        <is>
          <t>Not started</t>
        </is>
      </c>
    </row>
    <row r="95" ht="20" customHeight="1">
      <c r="A95" s="15" t="inlineStr">
        <is>
          <t>ad5</t>
        </is>
      </c>
      <c r="B95" s="20" t="inlineStr">
        <is>
          <t>Backend</t>
        </is>
      </c>
      <c r="C95" s="14" t="inlineStr">
        <is>
          <t>Admin</t>
        </is>
      </c>
      <c r="D95" s="14" t="inlineStr">
        <is>
          <t>platform, fleet</t>
        </is>
      </c>
      <c r="E95" s="14" t="inlineStr">
        <is>
          <t>City / branch scoped RBAC on APIs</t>
        </is>
      </c>
      <c r="F95" s="15" t="inlineStr">
        <is>
          <t>Week 4</t>
        </is>
      </c>
      <c r="G95" s="14" t="inlineStr">
        <is>
          <t>3–9 Sep 2026</t>
        </is>
      </c>
      <c r="H95" s="23" t="inlineStr">
        <is>
          <t>Not started</t>
        </is>
      </c>
    </row>
    <row r="96" ht="20" customHeight="1">
      <c r="A96" s="18" t="inlineStr">
        <is>
          <t>adf1</t>
        </is>
      </c>
      <c r="B96" s="21" t="inlineStr">
        <is>
          <t>Frontend</t>
        </is>
      </c>
      <c r="C96" s="17" t="inlineStr">
        <is>
          <t>Admin</t>
        </is>
      </c>
      <c r="D96" s="17" t="inlineStr">
        <is>
          <t>platform, fleet</t>
        </is>
      </c>
      <c r="E96" s="17" t="inlineStr">
        <is>
          <t>Admin app shell + nav</t>
        </is>
      </c>
      <c r="F96" s="18" t="inlineStr">
        <is>
          <t>Week 1</t>
        </is>
      </c>
      <c r="G96" s="17" t="inlineStr">
        <is>
          <t>13–19 Aug 2026</t>
        </is>
      </c>
      <c r="H96" s="23" t="inlineStr">
        <is>
          <t>Not started</t>
        </is>
      </c>
    </row>
    <row r="97" ht="20" customHeight="1">
      <c r="A97" s="15" t="inlineStr">
        <is>
          <t>adf2</t>
        </is>
      </c>
      <c r="B97" s="21" t="inlineStr">
        <is>
          <t>Frontend</t>
        </is>
      </c>
      <c r="C97" s="14" t="inlineStr">
        <is>
          <t>Admin</t>
        </is>
      </c>
      <c r="D97" s="14" t="inlineStr">
        <is>
          <t>platform, fleet</t>
        </is>
      </c>
      <c r="E97" s="14" t="inlineStr">
        <is>
          <t>Staff, cars, vehicles screens</t>
        </is>
      </c>
      <c r="F97" s="15" t="inlineStr">
        <is>
          <t>Week 1</t>
        </is>
      </c>
      <c r="G97" s="14" t="inlineStr">
        <is>
          <t>13–19 Aug 2026</t>
        </is>
      </c>
      <c r="H97" s="23" t="inlineStr">
        <is>
          <t>Not started</t>
        </is>
      </c>
    </row>
    <row r="98" ht="20" customHeight="1">
      <c r="A98" s="18" t="inlineStr">
        <is>
          <t>adf3</t>
        </is>
      </c>
      <c r="B98" s="21" t="inlineStr">
        <is>
          <t>Frontend</t>
        </is>
      </c>
      <c r="C98" s="17" t="inlineStr">
        <is>
          <t>Admin</t>
        </is>
      </c>
      <c r="D98" s="17" t="inlineStr">
        <is>
          <t>platform, fleet</t>
        </is>
      </c>
      <c r="E98" s="17" t="inlineStr">
        <is>
          <t>Dashboard KPI screens</t>
        </is>
      </c>
      <c r="F98" s="18" t="inlineStr">
        <is>
          <t>Week 4</t>
        </is>
      </c>
      <c r="G98" s="17" t="inlineStr">
        <is>
          <t>3–9 Sep 2026</t>
        </is>
      </c>
      <c r="H98" s="23" t="inlineStr">
        <is>
          <t>Not started</t>
        </is>
      </c>
    </row>
    <row r="99" ht="20" customHeight="1">
      <c r="A99" s="15" t="inlineStr">
        <is>
          <t>adf4</t>
        </is>
      </c>
      <c r="B99" s="21" t="inlineStr">
        <is>
          <t>Frontend</t>
        </is>
      </c>
      <c r="C99" s="14" t="inlineStr">
        <is>
          <t>Admin</t>
        </is>
      </c>
      <c r="D99" s="14" t="inlineStr">
        <is>
          <t>platform, fleet</t>
        </is>
      </c>
      <c r="E99" s="14" t="inlineStr">
        <is>
          <t>City / branch scoped nav + filters</t>
        </is>
      </c>
      <c r="F99" s="15" t="inlineStr">
        <is>
          <t>Week 4</t>
        </is>
      </c>
      <c r="G99" s="14" t="inlineStr">
        <is>
          <t>3–9 Sep 2026</t>
        </is>
      </c>
      <c r="H99" s="23" t="inlineStr">
        <is>
          <t>Not started</t>
        </is>
      </c>
    </row>
    <row r="100" ht="20" customHeight="1">
      <c r="A100" s="18" t="inlineStr">
        <is>
          <t>fn1</t>
        </is>
      </c>
      <c r="B100" s="20" t="inlineStr">
        <is>
          <t>Backend</t>
        </is>
      </c>
      <c r="C100" s="17" t="inlineStr">
        <is>
          <t>Finance</t>
        </is>
      </c>
      <c r="D100" s="17" t="inlineStr">
        <is>
          <t>platform</t>
        </is>
      </c>
      <c r="E100" s="17" t="inlineStr">
        <is>
          <t>Finance API spec</t>
        </is>
      </c>
      <c r="F100" s="18" t="inlineStr">
        <is>
          <t>Later</t>
        </is>
      </c>
      <c r="G100" s="17" t="inlineStr">
        <is>
          <t>After 9 Sep 2026</t>
        </is>
      </c>
      <c r="H100" s="21" t="inlineStr">
        <is>
          <t>Completed</t>
        </is>
      </c>
    </row>
    <row r="101" ht="20" customHeight="1">
      <c r="A101" s="15" t="inlineStr">
        <is>
          <t>fn2</t>
        </is>
      </c>
      <c r="B101" s="20" t="inlineStr">
        <is>
          <t>Backend</t>
        </is>
      </c>
      <c r="C101" s="14" t="inlineStr">
        <is>
          <t>Finance</t>
        </is>
      </c>
      <c r="D101" s="14" t="inlineStr">
        <is>
          <t>platform</t>
        </is>
      </c>
      <c r="E101" s="14" t="inlineStr">
        <is>
          <t>Revenue / deposits / GST report APIs</t>
        </is>
      </c>
      <c r="F101" s="15" t="inlineStr">
        <is>
          <t>Later</t>
        </is>
      </c>
      <c r="G101" s="14" t="inlineStr">
        <is>
          <t>After 9 Sep 2026</t>
        </is>
      </c>
      <c r="H101" s="23" t="inlineStr">
        <is>
          <t>Not started</t>
        </is>
      </c>
    </row>
    <row r="102" ht="20" customHeight="1">
      <c r="A102" s="18" t="inlineStr">
        <is>
          <t>fnf1</t>
        </is>
      </c>
      <c r="B102" s="21" t="inlineStr">
        <is>
          <t>Frontend</t>
        </is>
      </c>
      <c r="C102" s="17" t="inlineStr">
        <is>
          <t>Finance</t>
        </is>
      </c>
      <c r="D102" s="17" t="inlineStr">
        <is>
          <t>platform</t>
        </is>
      </c>
      <c r="E102" s="17" t="inlineStr">
        <is>
          <t>Admin finance report screens</t>
        </is>
      </c>
      <c r="F102" s="18" t="inlineStr">
        <is>
          <t>Later</t>
        </is>
      </c>
      <c r="G102" s="17" t="inlineStr">
        <is>
          <t>After 9 Sep 2026</t>
        </is>
      </c>
      <c r="H102" s="23" t="inlineStr">
        <is>
          <t>Not started</t>
        </is>
      </c>
    </row>
    <row r="103" ht="20" customHeight="1">
      <c r="A103" s="15" t="inlineStr">
        <is>
          <t>o1</t>
        </is>
      </c>
      <c r="B103" s="20" t="inlineStr">
        <is>
          <t>Backend</t>
        </is>
      </c>
      <c r="C103" s="14" t="inlineStr">
        <is>
          <t>Offers</t>
        </is>
      </c>
      <c r="D103" s="14" t="inlineStr">
        <is>
          <t>platform</t>
        </is>
      </c>
      <c r="E103" s="14" t="inlineStr">
        <is>
          <t>Offers API spec</t>
        </is>
      </c>
      <c r="F103" s="15" t="inlineStr">
        <is>
          <t>Week 2</t>
        </is>
      </c>
      <c r="G103" s="14" t="inlineStr">
        <is>
          <t>20–26 Aug 2026</t>
        </is>
      </c>
      <c r="H103" s="21" t="inlineStr">
        <is>
          <t>Completed</t>
        </is>
      </c>
    </row>
    <row r="104" ht="20" customHeight="1">
      <c r="A104" s="18" t="inlineStr">
        <is>
          <t>o2</t>
        </is>
      </c>
      <c r="B104" s="20" t="inlineStr">
        <is>
          <t>Backend</t>
        </is>
      </c>
      <c r="C104" s="17" t="inlineStr">
        <is>
          <t>Offers</t>
        </is>
      </c>
      <c r="D104" s="17" t="inlineStr">
        <is>
          <t>platform</t>
        </is>
      </c>
      <c r="E104" s="17" t="inlineStr">
        <is>
          <t>Flat / percent offer code APIs</t>
        </is>
      </c>
      <c r="F104" s="18" t="inlineStr">
        <is>
          <t>Week 2</t>
        </is>
      </c>
      <c r="G104" s="17" t="inlineStr">
        <is>
          <t>20–26 Aug 2026</t>
        </is>
      </c>
      <c r="H104" s="23" t="inlineStr">
        <is>
          <t>Not started</t>
        </is>
      </c>
    </row>
    <row r="105" ht="20" customHeight="1">
      <c r="A105" s="15" t="inlineStr">
        <is>
          <t>o3</t>
        </is>
      </c>
      <c r="B105" s="20" t="inlineStr">
        <is>
          <t>Backend</t>
        </is>
      </c>
      <c r="C105" s="14" t="inlineStr">
        <is>
          <t>Offers</t>
        </is>
      </c>
      <c r="D105" s="14" t="inlineStr">
        <is>
          <t>platform</t>
        </is>
      </c>
      <c r="E105" s="14" t="inlineStr">
        <is>
          <t>Wallet + loyalty APIs</t>
        </is>
      </c>
      <c r="F105" s="15" t="inlineStr">
        <is>
          <t>Later</t>
        </is>
      </c>
      <c r="G105" s="14" t="inlineStr">
        <is>
          <t>After 9 Sep 2026</t>
        </is>
      </c>
      <c r="H105" s="23" t="inlineStr">
        <is>
          <t>Not started</t>
        </is>
      </c>
    </row>
    <row r="106" ht="20" customHeight="1">
      <c r="A106" s="18" t="inlineStr">
        <is>
          <t>of1</t>
        </is>
      </c>
      <c r="B106" s="21" t="inlineStr">
        <is>
          <t>Frontend</t>
        </is>
      </c>
      <c r="C106" s="17" t="inlineStr">
        <is>
          <t>Offers</t>
        </is>
      </c>
      <c r="D106" s="17" t="inlineStr">
        <is>
          <t>platform</t>
        </is>
      </c>
      <c r="E106" s="17" t="inlineStr">
        <is>
          <t>Checkout apply offer code UI</t>
        </is>
      </c>
      <c r="F106" s="18" t="inlineStr">
        <is>
          <t>Week 2</t>
        </is>
      </c>
      <c r="G106" s="17" t="inlineStr">
        <is>
          <t>20–26 Aug 2026</t>
        </is>
      </c>
      <c r="H106" s="23" t="inlineStr">
        <is>
          <t>Not started</t>
        </is>
      </c>
    </row>
    <row r="107" ht="20" customHeight="1">
      <c r="A107" s="15" t="inlineStr">
        <is>
          <t>of2</t>
        </is>
      </c>
      <c r="B107" s="21" t="inlineStr">
        <is>
          <t>Frontend</t>
        </is>
      </c>
      <c r="C107" s="14" t="inlineStr">
        <is>
          <t>Offers</t>
        </is>
      </c>
      <c r="D107" s="14" t="inlineStr">
        <is>
          <t>platform</t>
        </is>
      </c>
      <c r="E107" s="14" t="inlineStr">
        <is>
          <t>Admin offers screens</t>
        </is>
      </c>
      <c r="F107" s="15" t="inlineStr">
        <is>
          <t>Week 2</t>
        </is>
      </c>
      <c r="G107" s="14" t="inlineStr">
        <is>
          <t>20–26 Aug 2026</t>
        </is>
      </c>
      <c r="H107" s="23" t="inlineStr">
        <is>
          <t>Not started</t>
        </is>
      </c>
    </row>
    <row r="108" ht="20" customHeight="1">
      <c r="A108" s="18" t="inlineStr">
        <is>
          <t>r1</t>
        </is>
      </c>
      <c r="B108" s="20" t="inlineStr">
        <is>
          <t>Backend</t>
        </is>
      </c>
      <c r="C108" s="17" t="inlineStr">
        <is>
          <t>Reviews</t>
        </is>
      </c>
      <c r="D108" s="17" t="inlineStr">
        <is>
          <t>platform</t>
        </is>
      </c>
      <c r="E108" s="17" t="inlineStr">
        <is>
          <t>Reviews API spec</t>
        </is>
      </c>
      <c r="F108" s="18" t="inlineStr">
        <is>
          <t>Later</t>
        </is>
      </c>
      <c r="G108" s="17" t="inlineStr">
        <is>
          <t>After 9 Sep 2026</t>
        </is>
      </c>
      <c r="H108" s="21" t="inlineStr">
        <is>
          <t>Completed</t>
        </is>
      </c>
    </row>
    <row r="109" ht="20" customHeight="1">
      <c r="A109" s="15" t="inlineStr">
        <is>
          <t>r2</t>
        </is>
      </c>
      <c r="B109" s="20" t="inlineStr">
        <is>
          <t>Backend</t>
        </is>
      </c>
      <c r="C109" s="14" t="inlineStr">
        <is>
          <t>Reviews</t>
        </is>
      </c>
      <c r="D109" s="14" t="inlineStr">
        <is>
          <t>platform</t>
        </is>
      </c>
      <c r="E109" s="14" t="inlineStr">
        <is>
          <t>Review invite + ticket APIs</t>
        </is>
      </c>
      <c r="F109" s="15" t="inlineStr">
        <is>
          <t>Later</t>
        </is>
      </c>
      <c r="G109" s="14" t="inlineStr">
        <is>
          <t>After 9 Sep 2026</t>
        </is>
      </c>
      <c r="H109" s="23" t="inlineStr">
        <is>
          <t>Not started</t>
        </is>
      </c>
    </row>
    <row r="110" ht="20" customHeight="1">
      <c r="A110" s="18" t="inlineStr">
        <is>
          <t>rf1</t>
        </is>
      </c>
      <c r="B110" s="21" t="inlineStr">
        <is>
          <t>Frontend</t>
        </is>
      </c>
      <c r="C110" s="17" t="inlineStr">
        <is>
          <t>Reviews</t>
        </is>
      </c>
      <c r="D110" s="17" t="inlineStr">
        <is>
          <t>platform</t>
        </is>
      </c>
      <c r="E110" s="17" t="inlineStr">
        <is>
          <t>Post-trip review + support UI</t>
        </is>
      </c>
      <c r="F110" s="18" t="inlineStr">
        <is>
          <t>Later</t>
        </is>
      </c>
      <c r="G110" s="17" t="inlineStr">
        <is>
          <t>After 9 Sep 2026</t>
        </is>
      </c>
      <c r="H110" s="23" t="inlineStr">
        <is>
          <t>Not started</t>
        </is>
      </c>
    </row>
    <row r="111" ht="20" customHeight="1">
      <c r="A111" s="15" t="inlineStr">
        <is>
          <t>n1</t>
        </is>
      </c>
      <c r="B111" s="20" t="inlineStr">
        <is>
          <t>Backend</t>
        </is>
      </c>
      <c r="C111" s="14" t="inlineStr">
        <is>
          <t>Notify</t>
        </is>
      </c>
      <c r="D111" s="14" t="inlineStr">
        <is>
          <t>notification</t>
        </is>
      </c>
      <c r="E111" s="14" t="inlineStr">
        <is>
          <t>Notifications API spec</t>
        </is>
      </c>
      <c r="F111" s="15" t="inlineStr">
        <is>
          <t>Week 1</t>
        </is>
      </c>
      <c r="G111" s="14" t="inlineStr">
        <is>
          <t>13–19 Aug 2026</t>
        </is>
      </c>
      <c r="H111" s="21" t="inlineStr">
        <is>
          <t>Completed</t>
        </is>
      </c>
    </row>
    <row r="112" ht="20" customHeight="1">
      <c r="A112" s="18" t="inlineStr">
        <is>
          <t>n2</t>
        </is>
      </c>
      <c r="B112" s="20" t="inlineStr">
        <is>
          <t>Backend</t>
        </is>
      </c>
      <c r="C112" s="17" t="inlineStr">
        <is>
          <t>Notify</t>
        </is>
      </c>
      <c r="D112" s="17" t="inlineStr">
        <is>
          <t>notification</t>
        </is>
      </c>
      <c r="E112" s="17" t="inlineStr">
        <is>
          <t>Notification Nest stub</t>
        </is>
      </c>
      <c r="F112" s="18" t="inlineStr">
        <is>
          <t>Week 1</t>
        </is>
      </c>
      <c r="G112" s="17" t="inlineStr">
        <is>
          <t>13–19 Aug 2026</t>
        </is>
      </c>
      <c r="H112" s="21" t="inlineStr">
        <is>
          <t>Completed</t>
        </is>
      </c>
    </row>
    <row r="113" ht="20" customHeight="1">
      <c r="A113" s="15" t="inlineStr">
        <is>
          <t>n3</t>
        </is>
      </c>
      <c r="B113" s="20" t="inlineStr">
        <is>
          <t>Backend</t>
        </is>
      </c>
      <c r="C113" s="14" t="inlineStr">
        <is>
          <t>Notify</t>
        </is>
      </c>
      <c r="D113" s="14" t="inlineStr">
        <is>
          <t>notification</t>
        </is>
      </c>
      <c r="E113" s="14" t="inlineStr">
        <is>
          <t>OTP email (port Gmail OAuth)</t>
        </is>
      </c>
      <c r="F113" s="15" t="inlineStr">
        <is>
          <t>Week 1</t>
        </is>
      </c>
      <c r="G113" s="14" t="inlineStr">
        <is>
          <t>13–19 Aug 2026</t>
        </is>
      </c>
      <c r="H113" s="23" t="inlineStr">
        <is>
          <t>Not started</t>
        </is>
      </c>
    </row>
    <row r="114" ht="20" customHeight="1">
      <c r="A114" s="18" t="inlineStr">
        <is>
          <t>n4</t>
        </is>
      </c>
      <c r="B114" s="20" t="inlineStr">
        <is>
          <t>Backend</t>
        </is>
      </c>
      <c r="C114" s="17" t="inlineStr">
        <is>
          <t>Notify</t>
        </is>
      </c>
      <c r="D114" s="17" t="inlineStr">
        <is>
          <t>notification</t>
        </is>
      </c>
      <c r="E114" s="17" t="inlineStr">
        <is>
          <t>Booking confirmation HTML email</t>
        </is>
      </c>
      <c r="F114" s="18" t="inlineStr">
        <is>
          <t>Week 3</t>
        </is>
      </c>
      <c r="G114" s="17" t="inlineStr">
        <is>
          <t>27 Aug–2 Sep 2026</t>
        </is>
      </c>
      <c r="H114" s="23" t="inlineStr">
        <is>
          <t>Not started</t>
        </is>
      </c>
    </row>
    <row r="115" ht="20" customHeight="1">
      <c r="A115" s="15" t="inlineStr">
        <is>
          <t>cr1</t>
        </is>
      </c>
      <c r="B115" s="20" t="inlineStr">
        <is>
          <t>Backend</t>
        </is>
      </c>
      <c r="C115" s="14" t="inlineStr">
        <is>
          <t>CRM</t>
        </is>
      </c>
      <c r="D115" s="14" t="inlineStr">
        <is>
          <t>platform</t>
        </is>
      </c>
      <c r="E115" s="14" t="inlineStr">
        <is>
          <t>CRM API spec</t>
        </is>
      </c>
      <c r="F115" s="15" t="inlineStr">
        <is>
          <t>Week 3</t>
        </is>
      </c>
      <c r="G115" s="14" t="inlineStr">
        <is>
          <t>27 Aug–2 Sep 2026</t>
        </is>
      </c>
      <c r="H115" s="21" t="inlineStr">
        <is>
          <t>Completed</t>
        </is>
      </c>
    </row>
    <row r="116" ht="20" customHeight="1">
      <c r="A116" s="18" t="inlineStr">
        <is>
          <t>cr2</t>
        </is>
      </c>
      <c r="B116" s="20" t="inlineStr">
        <is>
          <t>Backend</t>
        </is>
      </c>
      <c r="C116" s="17" t="inlineStr">
        <is>
          <t>CRM</t>
        </is>
      </c>
      <c r="D116" s="17" t="inlineStr">
        <is>
          <t>platform</t>
        </is>
      </c>
      <c r="E116" s="17" t="inlineStr">
        <is>
          <t>Zoho form webhook → lead</t>
        </is>
      </c>
      <c r="F116" s="18" t="inlineStr">
        <is>
          <t>Week 3</t>
        </is>
      </c>
      <c r="G116" s="17" t="inlineStr">
        <is>
          <t>27 Aug–2 Sep 2026</t>
        </is>
      </c>
      <c r="H116" s="23" t="inlineStr">
        <is>
          <t>Not started</t>
        </is>
      </c>
    </row>
    <row r="117" ht="20" customHeight="1">
      <c r="A117" s="15" t="inlineStr">
        <is>
          <t>cr3</t>
        </is>
      </c>
      <c r="B117" s="20" t="inlineStr">
        <is>
          <t>Backend</t>
        </is>
      </c>
      <c r="C117" s="14" t="inlineStr">
        <is>
          <t>CRM</t>
        </is>
      </c>
      <c r="D117" s="14" t="inlineStr">
        <is>
          <t>platform</t>
        </is>
      </c>
      <c r="E117" s="14" t="inlineStr">
        <is>
          <t>Contact form → CRM lead API</t>
        </is>
      </c>
      <c r="F117" s="15" t="inlineStr">
        <is>
          <t>Week 4</t>
        </is>
      </c>
      <c r="G117" s="14" t="inlineStr">
        <is>
          <t>3–9 Sep 2026</t>
        </is>
      </c>
      <c r="H117" s="23" t="inlineStr">
        <is>
          <t>Not started</t>
        </is>
      </c>
    </row>
    <row r="118" ht="20" customHeight="1">
      <c r="A118" s="18" t="inlineStr">
        <is>
          <t>crf1</t>
        </is>
      </c>
      <c r="B118" s="21" t="inlineStr">
        <is>
          <t>Frontend</t>
        </is>
      </c>
      <c r="C118" s="17" t="inlineStr">
        <is>
          <t>CRM</t>
        </is>
      </c>
      <c r="D118" s="17" t="inlineStr">
        <is>
          <t>platform</t>
        </is>
      </c>
      <c r="E118" s="17" t="inlineStr">
        <is>
          <t>Admin leads list screens</t>
        </is>
      </c>
      <c r="F118" s="18" t="inlineStr">
        <is>
          <t>Week 4</t>
        </is>
      </c>
      <c r="G118" s="17" t="inlineStr">
        <is>
          <t>3–9 Sep 2026</t>
        </is>
      </c>
      <c r="H118" s="23" t="inlineStr">
        <is>
          <t>Not started</t>
        </is>
      </c>
    </row>
    <row r="119" ht="20" customHeight="1">
      <c r="A119" s="15" t="inlineStr">
        <is>
          <t>mb1</t>
        </is>
      </c>
      <c r="B119" s="21" t="inlineStr">
        <is>
          <t>Frontend</t>
        </is>
      </c>
      <c r="C119" s="14" t="inlineStr">
        <is>
          <t>Mobile</t>
        </is>
      </c>
      <c r="D119" s="14" t="inlineStr">
        <is>
          <t>apps/mobile</t>
        </is>
      </c>
      <c r="E119" s="14" t="inlineStr">
        <is>
          <t>Mobile spec</t>
        </is>
      </c>
      <c r="F119" s="15" t="inlineStr">
        <is>
          <t>Later</t>
        </is>
      </c>
      <c r="G119" s="14" t="inlineStr">
        <is>
          <t>After 9 Sep 2026</t>
        </is>
      </c>
      <c r="H119" s="21" t="inlineStr">
        <is>
          <t>Completed</t>
        </is>
      </c>
    </row>
    <row r="120" ht="20" customHeight="1">
      <c r="A120" s="18" t="inlineStr">
        <is>
          <t>mb2</t>
        </is>
      </c>
      <c r="B120" s="21" t="inlineStr">
        <is>
          <t>Frontend</t>
        </is>
      </c>
      <c r="C120" s="17" t="inlineStr">
        <is>
          <t>Mobile</t>
        </is>
      </c>
      <c r="D120" s="17" t="inlineStr">
        <is>
          <t>apps/mobile</t>
        </is>
      </c>
      <c r="E120" s="17" t="inlineStr">
        <is>
          <t>Expo app: search, book, track</t>
        </is>
      </c>
      <c r="F120" s="18" t="inlineStr">
        <is>
          <t>Later</t>
        </is>
      </c>
      <c r="G120" s="17" t="inlineStr">
        <is>
          <t>After 9 Sep 2026</t>
        </is>
      </c>
      <c r="H120" s="23" t="inlineStr">
        <is>
          <t>Not started</t>
        </is>
      </c>
    </row>
  </sheetData>
  <autoFilter ref="A1:H120"/>
  <conditionalFormatting sqref="H2:H120">
    <cfRule type="expression" priority="1" dxfId="0">
      <formula>H2="Not started"</formula>
    </cfRule>
    <cfRule type="expression" priority="2" dxfId="1">
      <formula>H2="In progress"</formula>
    </cfRule>
    <cfRule type="expression" priority="3" dxfId="2">
      <formula>H2="Under review"</formula>
    </cfRule>
    <cfRule type="expression" priority="4" dxfId="3">
      <formula>H2="Completed"</formula>
    </cfRule>
  </conditionalFormatting>
  <conditionalFormatting sqref="B2:B120">
    <cfRule type="expression" priority="5" dxfId="1">
      <formula>B2="Backend"</formula>
    </cfRule>
    <cfRule type="expression" priority="6" dxfId="3">
      <formula>B2="Frontend"</formula>
    </cfRule>
  </conditionalFormatting>
  <dataValidations count="2">
    <dataValidation sqref="H2:H120" showDropDown="0" showInputMessage="0" showErrorMessage="1" allowBlank="0" errorTitle="Invalid status" error="Pick Not started, In progress, Under review, or Completed." type="list">
      <formula1>"Not started,In progress,Under review,Completed"</formula1>
    </dataValidation>
    <dataValidation sqref="B2:B120" showDropDown="0" showInputMessage="0" showErrorMessage="0" allowBlank="0" type="list">
      <formula1>"Backend,Frontend"</formula1>
    </dataValidation>
  </dataValidation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DADE2"/>
    <outlinePr summaryBelow="1" summaryRight="1"/>
    <pageSetUpPr fitToPage="1"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  <col width="16" customWidth="1" min="5" max="5"/>
  </cols>
  <sheetData>
    <row r="1" ht="26" customHeight="1">
      <c r="A1" s="1" t="inlineStr">
        <is>
          <t>4-week timeline  ·  Backend vs Frontend  ·  13 Aug – 9 Sep 2026</t>
        </is>
      </c>
    </row>
    <row r="3">
      <c r="A3" s="8" t="inlineStr">
        <is>
          <t>Backend (NestJS, Prisma, gateway)</t>
        </is>
      </c>
    </row>
    <row r="4" ht="32" customHeight="1">
      <c r="A4" s="9" t="inlineStr">
        <is>
          <t>Workstream</t>
        </is>
      </c>
      <c r="B4" s="24" t="inlineStr">
        <is>
          <t>Week 1
13–19 Aug</t>
        </is>
      </c>
      <c r="C4" s="9" t="inlineStr">
        <is>
          <t>Week 2
20–26 Aug</t>
        </is>
      </c>
      <c r="D4" s="9" t="inlineStr">
        <is>
          <t>Week 3
27 Aug–2 Sep</t>
        </is>
      </c>
      <c r="E4" s="9" t="inlineStr">
        <is>
          <t>Week 4
3–9 Sep</t>
        </is>
      </c>
    </row>
    <row r="5" ht="22" customHeight="1">
      <c r="A5" s="25" t="inlineStr">
        <is>
          <t>Gateway / infra</t>
        </is>
      </c>
      <c r="B5" s="26" t="inlineStr">
        <is>
          <t>●</t>
        </is>
      </c>
      <c r="C5" s="27" t="n"/>
      <c r="D5" s="27" t="n"/>
      <c r="E5" s="27" t="n"/>
    </row>
    <row r="6" ht="22" customHeight="1">
      <c r="A6" s="25" t="inlineStr">
        <is>
          <t>Identity APIs</t>
        </is>
      </c>
      <c r="B6" s="26" t="inlineStr">
        <is>
          <t>●</t>
        </is>
      </c>
      <c r="C6" s="27" t="n"/>
      <c r="D6" s="27" t="n"/>
      <c r="E6" s="27" t="n"/>
    </row>
    <row r="7" ht="22" customHeight="1">
      <c r="A7" s="25" t="inlineStr">
        <is>
          <t>Fleet APIs</t>
        </is>
      </c>
      <c r="B7" s="26" t="inlineStr">
        <is>
          <t>●</t>
        </is>
      </c>
      <c r="C7" s="27" t="n"/>
      <c r="D7" s="27" t="n"/>
      <c r="E7" s="27" t="n"/>
    </row>
    <row r="8" ht="22" customHeight="1">
      <c r="A8" s="25" t="inlineStr">
        <is>
          <t>OTP email</t>
        </is>
      </c>
      <c r="B8" s="26" t="inlineStr">
        <is>
          <t>●</t>
        </is>
      </c>
      <c r="C8" s="27" t="n"/>
      <c r="D8" s="27" t="n"/>
      <c r="E8" s="27" t="n"/>
    </row>
    <row r="9" ht="22" customHeight="1">
      <c r="A9" s="25" t="inlineStr">
        <is>
          <t>Catalog / availability</t>
        </is>
      </c>
      <c r="B9" s="26" t="inlineStr">
        <is>
          <t>●</t>
        </is>
      </c>
      <c r="C9" s="28" t="inlineStr">
        <is>
          <t>●</t>
        </is>
      </c>
      <c r="D9" s="27" t="n"/>
      <c r="E9" s="27" t="n"/>
    </row>
    <row r="10" ht="22" customHeight="1">
      <c r="A10" s="25" t="inlineStr">
        <is>
          <t>Booking engine</t>
        </is>
      </c>
      <c r="B10" s="29" t="n"/>
      <c r="C10" s="28" t="inlineStr">
        <is>
          <t>●</t>
        </is>
      </c>
      <c r="D10" s="28" t="inlineStr">
        <is>
          <t>●</t>
        </is>
      </c>
      <c r="E10" s="27" t="n"/>
    </row>
    <row r="11" ht="22" customHeight="1">
      <c r="A11" s="25" t="inlineStr">
        <is>
          <t>Razorpay</t>
        </is>
      </c>
      <c r="B11" s="29" t="n"/>
      <c r="C11" s="28" t="inlineStr">
        <is>
          <t>●</t>
        </is>
      </c>
      <c r="D11" s="27" t="n"/>
      <c r="E11" s="27" t="n"/>
    </row>
    <row r="12" ht="22" customHeight="1">
      <c r="A12" s="25" t="inlineStr">
        <is>
          <t>KYC APIs</t>
        </is>
      </c>
      <c r="B12" s="29" t="n"/>
      <c r="C12" s="27" t="n"/>
      <c r="D12" s="28" t="inlineStr">
        <is>
          <t>●</t>
        </is>
      </c>
      <c r="E12" s="27" t="n"/>
    </row>
    <row r="13" ht="22" customHeight="1">
      <c r="A13" s="25" t="inlineStr">
        <is>
          <t>Leegality</t>
        </is>
      </c>
      <c r="B13" s="29" t="n"/>
      <c r="C13" s="27" t="n"/>
      <c r="D13" s="28" t="inlineStr">
        <is>
          <t>●</t>
        </is>
      </c>
      <c r="E13" s="27" t="n"/>
    </row>
    <row r="14" ht="22" customHeight="1">
      <c r="A14" s="25" t="inlineStr">
        <is>
          <t>Zoho webhook</t>
        </is>
      </c>
      <c r="B14" s="29" t="n"/>
      <c r="C14" s="27" t="n"/>
      <c r="D14" s="28" t="inlineStr">
        <is>
          <t>●</t>
        </is>
      </c>
      <c r="E14" s="28" t="inlineStr">
        <is>
          <t>●</t>
        </is>
      </c>
    </row>
    <row r="15" ht="22" customHeight="1">
      <c r="A15" s="25" t="inlineStr">
        <is>
          <t>Handover APIs</t>
        </is>
      </c>
      <c r="B15" s="29" t="n"/>
      <c r="C15" s="27" t="n"/>
      <c r="D15" s="27" t="n"/>
      <c r="E15" s="28" t="inlineStr">
        <is>
          <t>●</t>
        </is>
      </c>
    </row>
    <row r="17">
      <c r="A17" s="8" t="inlineStr">
        <is>
          <t>Frontend (Next.js web, admin, Expo)</t>
        </is>
      </c>
    </row>
    <row r="18" ht="32" customHeight="1">
      <c r="A18" s="30" t="inlineStr">
        <is>
          <t>Workstream</t>
        </is>
      </c>
      <c r="B18" s="24" t="inlineStr">
        <is>
          <t>Week 1
13–19 Aug</t>
        </is>
      </c>
      <c r="C18" s="30" t="inlineStr">
        <is>
          <t>Week 2
20–26 Aug</t>
        </is>
      </c>
      <c r="D18" s="30" t="inlineStr">
        <is>
          <t>Week 3
27 Aug–2 Sep</t>
        </is>
      </c>
      <c r="E18" s="30" t="inlineStr">
        <is>
          <t>Week 4
3–9 Sep</t>
        </is>
      </c>
    </row>
    <row r="19" ht="22" customHeight="1">
      <c r="A19" s="25" t="inlineStr">
        <is>
          <t>Web + admin shells</t>
        </is>
      </c>
      <c r="B19" s="26" t="inlineStr">
        <is>
          <t>●</t>
        </is>
      </c>
      <c r="C19" s="27" t="n"/>
      <c r="D19" s="27" t="n"/>
      <c r="E19" s="27" t="n"/>
    </row>
    <row r="20" ht="22" customHeight="1">
      <c r="A20" s="25" t="inlineStr">
        <is>
          <t>Login + car list</t>
        </is>
      </c>
      <c r="B20" s="26" t="inlineStr">
        <is>
          <t>●</t>
        </is>
      </c>
      <c r="C20" s="27" t="n"/>
      <c r="D20" s="27" t="n"/>
      <c r="E20" s="27" t="n"/>
    </row>
    <row r="21" ht="22" customHeight="1">
      <c r="A21" s="25" t="inlineStr">
        <is>
          <t>Checkout + pay UI</t>
        </is>
      </c>
      <c r="B21" s="29" t="n"/>
      <c r="C21" s="28" t="inlineStr">
        <is>
          <t>●</t>
        </is>
      </c>
      <c r="D21" s="27" t="n"/>
      <c r="E21" s="27" t="n"/>
    </row>
    <row r="22" ht="22" customHeight="1">
      <c r="A22" s="25" t="inlineStr">
        <is>
          <t>Tracking + KYC UI</t>
        </is>
      </c>
      <c r="B22" s="29" t="n"/>
      <c r="C22" s="27" t="n"/>
      <c r="D22" s="28" t="inlineStr">
        <is>
          <t>●</t>
        </is>
      </c>
      <c r="E22" s="27" t="n"/>
    </row>
    <row r="23" ht="22" customHeight="1">
      <c r="A23" s="25" t="inlineStr">
        <is>
          <t>Admin bookings / assign</t>
        </is>
      </c>
      <c r="B23" s="29" t="n"/>
      <c r="C23" s="28" t="inlineStr">
        <is>
          <t>●</t>
        </is>
      </c>
      <c r="D23" s="28" t="inlineStr">
        <is>
          <t>●</t>
        </is>
      </c>
      <c r="E23" s="28" t="inlineStr">
        <is>
          <t>●</t>
        </is>
      </c>
    </row>
    <row r="24" ht="22" customHeight="1">
      <c r="A24" s="25" t="inlineStr">
        <is>
          <t>CMS + handover UI</t>
        </is>
      </c>
      <c r="B24" s="29" t="n"/>
      <c r="C24" s="27" t="n"/>
      <c r="D24" s="27" t="n"/>
      <c r="E24" s="28" t="inlineStr">
        <is>
          <t>●</t>
        </is>
      </c>
    </row>
    <row r="26">
      <c r="A26" s="2" t="inlineStr">
        <is>
          <t>Shaded bar = planned that week. Week 1 column is current. Later work is on All Tasks filtered to Later.</t>
        </is>
      </c>
    </row>
  </sheetData>
  <mergeCells count="4">
    <mergeCell ref="A26:E26"/>
    <mergeCell ref="A1:E1"/>
    <mergeCell ref="A17:E17"/>
    <mergeCell ref="A3:E3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A5276"/>
    <outlinePr summaryBelow="1" summaryRight="1"/>
    <pageSetUpPr fitToPage="1"/>
  </sheetPr>
  <dimension ref="A1:L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14" customWidth="1" min="5" max="5"/>
    <col width="36" customWidth="1" min="6" max="6"/>
    <col width="10" customWidth="1" min="7" max="7"/>
    <col width="14" customWidth="1" min="8" max="8"/>
    <col width="36" customWidth="1" min="9" max="9"/>
    <col width="10" customWidth="1" min="10" max="10"/>
    <col width="14" customWidth="1" min="11" max="11"/>
    <col width="36" customWidth="1" min="12" max="12"/>
  </cols>
  <sheetData>
    <row r="1" ht="26" customHeight="1">
      <c r="A1" s="1" t="inlineStr">
        <is>
          <t>Backend board  ·  31 of 81 completed</t>
        </is>
      </c>
    </row>
    <row r="2">
      <c r="A2" s="2" t="inlineStr">
        <is>
          <t>NestJS / Prisma / gateway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Module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Module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Module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Module</t>
        </is>
      </c>
      <c r="L5" s="37" t="inlineStr">
        <is>
          <t>Task</t>
        </is>
      </c>
    </row>
    <row r="6" ht="20" customHeight="1">
      <c r="A6" s="38" t="inlineStr">
        <is>
          <t>Week 1</t>
        </is>
      </c>
      <c r="B6" s="39" t="inlineStr">
        <is>
          <t>Foundation</t>
        </is>
      </c>
      <c r="C6" s="39" t="inlineStr">
        <is>
          <t>Prisma migrate on local Docker</t>
        </is>
      </c>
      <c r="G6" s="40" t="inlineStr">
        <is>
          <t>Week 1</t>
        </is>
      </c>
      <c r="H6" s="41" t="inlineStr">
        <is>
          <t>Foundation</t>
        </is>
      </c>
      <c r="I6" s="41" t="inlineStr">
        <is>
          <t>Prisma schema draft (all domains)</t>
        </is>
      </c>
      <c r="J6" s="42" t="inlineStr">
        <is>
          <t>Week 1</t>
        </is>
      </c>
      <c r="K6" s="43" t="inlineStr">
        <is>
          <t>Foundation</t>
        </is>
      </c>
      <c r="L6" s="43" t="inlineStr">
        <is>
          <t>Monorepo, turbo, Nest service packages</t>
        </is>
      </c>
    </row>
    <row r="7" ht="20" customHeight="1">
      <c r="A7" s="38" t="inlineStr">
        <is>
          <t>Week 1</t>
        </is>
      </c>
      <c r="B7" s="39" t="inlineStr">
        <is>
          <t>Foundation</t>
        </is>
      </c>
      <c r="C7" s="39" t="inlineStr">
        <is>
          <t>Gateway Firebase JWT verify + /v1 proxy</t>
        </is>
      </c>
      <c r="J7" s="42" t="inlineStr">
        <is>
          <t>Week 1</t>
        </is>
      </c>
      <c r="K7" s="43" t="inlineStr">
        <is>
          <t>Foundation</t>
        </is>
      </c>
      <c r="L7" s="43" t="inlineStr">
        <is>
          <t>Docker Compose Postgres + Redis</t>
        </is>
      </c>
    </row>
    <row r="8" ht="20" customHeight="1">
      <c r="A8" s="38" t="inlineStr">
        <is>
          <t>Week 1</t>
        </is>
      </c>
      <c r="B8" s="39" t="inlineStr">
        <is>
          <t>Foundation</t>
        </is>
      </c>
      <c r="C8" s="39" t="inlineStr">
        <is>
          <t>Shared env + service ports</t>
        </is>
      </c>
      <c r="J8" s="42" t="inlineStr">
        <is>
          <t>Week 1</t>
        </is>
      </c>
      <c r="K8" s="43" t="inlineStr">
        <is>
          <t>Foundation</t>
        </is>
      </c>
      <c r="L8" s="43" t="inlineStr">
        <is>
          <t>NestJS service stubs + health</t>
        </is>
      </c>
    </row>
    <row r="9" ht="20" customHeight="1">
      <c r="A9" s="38" t="inlineStr">
        <is>
          <t>Week 4</t>
        </is>
      </c>
      <c r="B9" s="39" t="inlineStr">
        <is>
          <t>Foundation</t>
        </is>
      </c>
      <c r="C9" s="39" t="inlineStr">
        <is>
          <t>Rate limits, audit, staging API deploy</t>
        </is>
      </c>
      <c r="J9" s="42" t="inlineStr">
        <is>
          <t>Week 1</t>
        </is>
      </c>
      <c r="K9" s="43" t="inlineStr">
        <is>
          <t>Auth</t>
        </is>
      </c>
      <c r="L9" s="43" t="inlineStr">
        <is>
          <t>Auth API + RBAC spec</t>
        </is>
      </c>
    </row>
    <row r="10" ht="20" customHeight="1">
      <c r="A10" s="38" t="inlineStr">
        <is>
          <t>Week 1</t>
        </is>
      </c>
      <c r="B10" s="39" t="inlineStr">
        <is>
          <t>Auth</t>
        </is>
      </c>
      <c r="C10" s="39" t="inlineStr">
        <is>
          <t>POST /v1/auth/sync from Firebase token</t>
        </is>
      </c>
      <c r="J10" s="42" t="inlineStr">
        <is>
          <t>Week 1</t>
        </is>
      </c>
      <c r="K10" s="43" t="inlineStr">
        <is>
          <t>Auth</t>
        </is>
      </c>
      <c r="L10" s="43" t="inlineStr">
        <is>
          <t>Identity Nest stub</t>
        </is>
      </c>
    </row>
    <row r="11" ht="20" customHeight="1">
      <c r="A11" s="38" t="inlineStr">
        <is>
          <t>Week 1</t>
        </is>
      </c>
      <c r="B11" s="39" t="inlineStr">
        <is>
          <t>Auth</t>
        </is>
      </c>
      <c r="C11" s="39" t="inlineStr">
        <is>
          <t>GET/PATCH /v1/me + roles</t>
        </is>
      </c>
      <c r="J11" s="42" t="inlineStr">
        <is>
          <t>Week 4</t>
        </is>
      </c>
      <c r="K11" s="43" t="inlineStr">
        <is>
          <t>CMS</t>
        </is>
      </c>
      <c r="L11" s="43" t="inlineStr">
        <is>
          <t>CMS API spec</t>
        </is>
      </c>
    </row>
    <row r="12" ht="20" customHeight="1">
      <c r="A12" s="38" t="inlineStr">
        <is>
          <t>Week 1</t>
        </is>
      </c>
      <c r="B12" s="39" t="inlineStr">
        <is>
          <t>Auth</t>
        </is>
      </c>
      <c r="C12" s="39" t="inlineStr">
        <is>
          <t>Invite staff, assign roles, disable APIs</t>
        </is>
      </c>
      <c r="J12" s="42" t="inlineStr">
        <is>
          <t>Week 1</t>
        </is>
      </c>
      <c r="K12" s="43" t="inlineStr">
        <is>
          <t>Dashboard</t>
        </is>
      </c>
      <c r="L12" s="43" t="inlineStr">
        <is>
          <t>Customer account API spec</t>
        </is>
      </c>
    </row>
    <row r="13" ht="20" customHeight="1">
      <c r="A13" s="38" t="inlineStr">
        <is>
          <t>Week 4</t>
        </is>
      </c>
      <c r="B13" s="39" t="inlineStr">
        <is>
          <t>Auth</t>
        </is>
      </c>
      <c r="C13" s="39" t="inlineStr">
        <is>
          <t>Audit log for privileged writes</t>
        </is>
      </c>
      <c r="J13" s="42" t="inlineStr">
        <is>
          <t>Week 1</t>
        </is>
      </c>
      <c r="K13" s="43" t="inlineStr">
        <is>
          <t>Search</t>
        </is>
      </c>
      <c r="L13" s="43" t="inlineStr">
        <is>
          <t>Search / catalog API spec</t>
        </is>
      </c>
    </row>
    <row r="14" ht="20" customHeight="1">
      <c r="A14" s="38" t="inlineStr">
        <is>
          <t>Week 4</t>
        </is>
      </c>
      <c r="B14" s="39" t="inlineStr">
        <is>
          <t>CMS</t>
        </is>
      </c>
      <c r="C14" s="39" t="inlineStr">
        <is>
          <t>Public pages, banners, blogs APIs</t>
        </is>
      </c>
      <c r="J14" s="42" t="inlineStr">
        <is>
          <t>Week 1</t>
        </is>
      </c>
      <c r="K14" s="43" t="inlineStr">
        <is>
          <t>Search</t>
        </is>
      </c>
      <c r="L14" s="43" t="inlineStr">
        <is>
          <t>Catalog Nest stub</t>
        </is>
      </c>
    </row>
    <row r="15" ht="20" customHeight="1">
      <c r="A15" s="38" t="inlineStr">
        <is>
          <t>Week 4</t>
        </is>
      </c>
      <c r="B15" s="39" t="inlineStr">
        <is>
          <t>CMS</t>
        </is>
      </c>
      <c r="C15" s="39" t="inlineStr">
        <is>
          <t>Admin CMS CRUD + publish APIs</t>
        </is>
      </c>
      <c r="J15" s="42" t="inlineStr">
        <is>
          <t>Week 2</t>
        </is>
      </c>
      <c r="K15" s="43" t="inlineStr">
        <is>
          <t>Booking</t>
        </is>
      </c>
      <c r="L15" s="43" t="inlineStr">
        <is>
          <t>Booking API spec</t>
        </is>
      </c>
    </row>
    <row r="16" ht="20" customHeight="1">
      <c r="A16" s="38" t="inlineStr">
        <is>
          <t>Week 2</t>
        </is>
      </c>
      <c r="B16" s="39" t="inlineStr">
        <is>
          <t>Dashboard</t>
        </is>
      </c>
      <c r="C16" s="39" t="inlineStr">
        <is>
          <t>Customer bookings + profile APIs</t>
        </is>
      </c>
      <c r="J16" s="42" t="inlineStr">
        <is>
          <t>Week 2</t>
        </is>
      </c>
      <c r="K16" s="43" t="inlineStr">
        <is>
          <t>Booking</t>
        </is>
      </c>
      <c r="L16" s="43" t="inlineStr">
        <is>
          <t>Booking Nest stub</t>
        </is>
      </c>
    </row>
    <row r="17" ht="20" customHeight="1">
      <c r="A17" s="38" t="inlineStr">
        <is>
          <t>Week 1</t>
        </is>
      </c>
      <c r="B17" s="39" t="inlineStr">
        <is>
          <t>Search</t>
        </is>
      </c>
      <c r="C17" s="39" t="inlineStr">
        <is>
          <t>CarModel CRUD APIs</t>
        </is>
      </c>
      <c r="J17" s="42" t="inlineStr">
        <is>
          <t>Week 2</t>
        </is>
      </c>
      <c r="K17" s="43" t="inlineStr">
        <is>
          <t>Payments</t>
        </is>
      </c>
      <c r="L17" s="43" t="inlineStr">
        <is>
          <t>Payments API spec</t>
        </is>
      </c>
    </row>
    <row r="18" ht="20" customHeight="1">
      <c r="A18" s="38" t="inlineStr">
        <is>
          <t>Week 2</t>
        </is>
      </c>
      <c r="B18" s="39" t="inlineStr">
        <is>
          <t>Search</t>
        </is>
      </c>
      <c r="C18" s="39" t="inlineStr">
        <is>
          <t>Availability engine + buffer hours</t>
        </is>
      </c>
      <c r="J18" s="42" t="inlineStr">
        <is>
          <t>Week 2</t>
        </is>
      </c>
      <c r="K18" s="43" t="inlineStr">
        <is>
          <t>Payments</t>
        </is>
      </c>
      <c r="L18" s="43" t="inlineStr">
        <is>
          <t>Payment Nest stub</t>
        </is>
      </c>
    </row>
    <row r="19" ht="20" customHeight="1">
      <c r="A19" s="38" t="inlineStr">
        <is>
          <t>Week 2</t>
        </is>
      </c>
      <c r="B19" s="39" t="inlineStr">
        <is>
          <t>Search</t>
        </is>
      </c>
      <c r="C19" s="39" t="inlineStr">
        <is>
          <t>Maintenance block stub on calendar</t>
        </is>
      </c>
      <c r="J19" s="42" t="inlineStr">
        <is>
          <t>Later</t>
        </is>
      </c>
      <c r="K19" s="43" t="inlineStr">
        <is>
          <t>Subscription</t>
        </is>
      </c>
      <c r="L19" s="43" t="inlineStr">
        <is>
          <t>Subscription API spec</t>
        </is>
      </c>
    </row>
    <row r="20" ht="20" customHeight="1">
      <c r="A20" s="38" t="inlineStr">
        <is>
          <t>Week 2</t>
        </is>
      </c>
      <c r="B20" s="39" t="inlineStr">
        <is>
          <t>Booking</t>
        </is>
      </c>
      <c r="C20" s="39" t="inlineStr">
        <is>
          <t>Quote freeze + HOLD (15 min) API</t>
        </is>
      </c>
      <c r="J20" s="42" t="inlineStr">
        <is>
          <t>Week 4</t>
        </is>
      </c>
      <c r="K20" s="43" t="inlineStr">
        <is>
          <t>Airport</t>
        </is>
      </c>
      <c r="L20" s="43" t="inlineStr">
        <is>
          <t>Airport / outstation API spec</t>
        </is>
      </c>
    </row>
    <row r="21" ht="20" customHeight="1">
      <c r="A21" s="38" t="inlineStr">
        <is>
          <t>Week 3</t>
        </is>
      </c>
      <c r="B21" s="39" t="inlineStr">
        <is>
          <t>Booking</t>
        </is>
      </c>
      <c r="C21" s="39" t="inlineStr">
        <is>
          <t>Status machine through CONFIRMED</t>
        </is>
      </c>
      <c r="J21" s="42" t="inlineStr">
        <is>
          <t>Week 3</t>
        </is>
      </c>
      <c r="K21" s="43" t="inlineStr">
        <is>
          <t>KYC</t>
        </is>
      </c>
      <c r="L21" s="43" t="inlineStr">
        <is>
          <t>KYC API spec</t>
        </is>
      </c>
    </row>
    <row r="22" ht="20" customHeight="1">
      <c r="A22" s="38" t="inlineStr">
        <is>
          <t>Week 2</t>
        </is>
      </c>
      <c r="B22" s="39" t="inlineStr">
        <is>
          <t>Booking</t>
        </is>
      </c>
      <c r="C22" s="39" t="inlineStr">
        <is>
          <t>Admin bookings list API + filters</t>
        </is>
      </c>
      <c r="J22" s="42" t="inlineStr">
        <is>
          <t>Week 3</t>
        </is>
      </c>
      <c r="K22" s="43" t="inlineStr">
        <is>
          <t>KYC</t>
        </is>
      </c>
      <c r="L22" s="43" t="inlineStr">
        <is>
          <t>Document Nest stub</t>
        </is>
      </c>
    </row>
    <row r="23" ht="20" customHeight="1">
      <c r="A23" s="38" t="inlineStr">
        <is>
          <t>Week 4</t>
        </is>
      </c>
      <c r="B23" s="39" t="inlineStr">
        <is>
          <t>Booking</t>
        </is>
      </c>
      <c r="C23" s="39" t="inlineStr">
        <is>
          <t>Assign vehicle/driver API</t>
        </is>
      </c>
      <c r="J23" s="42" t="inlineStr">
        <is>
          <t>Week 3</t>
        </is>
      </c>
      <c r="K23" s="43" t="inlineStr">
        <is>
          <t>E-sign</t>
        </is>
      </c>
      <c r="L23" s="43" t="inlineStr">
        <is>
          <t>E-sign API spec</t>
        </is>
      </c>
    </row>
    <row r="24" ht="20" customHeight="1">
      <c r="A24" s="38" t="inlineStr">
        <is>
          <t>Week 2</t>
        </is>
      </c>
      <c r="B24" s="39" t="inlineStr">
        <is>
          <t>Payments</t>
        </is>
      </c>
      <c r="C24" s="39" t="inlineStr">
        <is>
          <t>Razorpay order + webhook (idempotent)</t>
        </is>
      </c>
      <c r="J24" s="42" t="inlineStr">
        <is>
          <t>Week 1</t>
        </is>
      </c>
      <c r="K24" s="43" t="inlineStr">
        <is>
          <t>Fleet</t>
        </is>
      </c>
      <c r="L24" s="43" t="inlineStr">
        <is>
          <t>Fleet API spec</t>
        </is>
      </c>
    </row>
    <row r="25" ht="20" customHeight="1">
      <c r="A25" s="38" t="inlineStr">
        <is>
          <t>Week 2</t>
        </is>
      </c>
      <c r="B25" s="39" t="inlineStr">
        <is>
          <t>Payments</t>
        </is>
      </c>
      <c r="C25" s="39" t="inlineStr">
        <is>
          <t>Token invoice + verify APIs</t>
        </is>
      </c>
      <c r="J25" s="42" t="inlineStr">
        <is>
          <t>Week 1</t>
        </is>
      </c>
      <c r="K25" s="43" t="inlineStr">
        <is>
          <t>Fleet</t>
        </is>
      </c>
      <c r="L25" s="43" t="inlineStr">
        <is>
          <t>Fleet Nest stub</t>
        </is>
      </c>
    </row>
    <row r="26" ht="20" customHeight="1">
      <c r="A26" s="38" t="inlineStr">
        <is>
          <t>Week 4</t>
        </is>
      </c>
      <c r="B26" s="39" t="inlineStr">
        <is>
          <t>Payments</t>
        </is>
      </c>
      <c r="C26" s="39" t="inlineStr">
        <is>
          <t>Refund path for cancel before handover</t>
        </is>
      </c>
      <c r="J26" s="42" t="inlineStr">
        <is>
          <t>Later</t>
        </is>
      </c>
      <c r="K26" s="43" t="inlineStr">
        <is>
          <t>Workshop</t>
        </is>
      </c>
      <c r="L26" s="43" t="inlineStr">
        <is>
          <t>Workshop API spec</t>
        </is>
      </c>
    </row>
    <row r="27" ht="20" customHeight="1">
      <c r="A27" s="38" t="inlineStr">
        <is>
          <t>Later</t>
        </is>
      </c>
      <c r="B27" s="39" t="inlineStr">
        <is>
          <t>Subscription</t>
        </is>
      </c>
      <c r="C27" s="39" t="inlineStr">
        <is>
          <t>Plans + tenure booking APIs</t>
        </is>
      </c>
      <c r="J27" s="42" t="inlineStr">
        <is>
          <t>Week 4</t>
        </is>
      </c>
      <c r="K27" s="43" t="inlineStr">
        <is>
          <t>Handover</t>
        </is>
      </c>
      <c r="L27" s="43" t="inlineStr">
        <is>
          <t>Handover API spec</t>
        </is>
      </c>
    </row>
    <row r="28" ht="20" customHeight="1">
      <c r="A28" s="38" t="inlineStr">
        <is>
          <t>Later</t>
        </is>
      </c>
      <c r="B28" s="39" t="inlineStr">
        <is>
          <t>Subscription</t>
        </is>
      </c>
      <c r="C28" s="39" t="inlineStr">
        <is>
          <t>Swap / early close policy APIs</t>
        </is>
      </c>
      <c r="J28" s="42" t="inlineStr">
        <is>
          <t>Week 4</t>
        </is>
      </c>
      <c r="K28" s="43" t="inlineStr">
        <is>
          <t>Drivers</t>
        </is>
      </c>
      <c r="L28" s="43" t="inlineStr">
        <is>
          <t>Drivers API spec</t>
        </is>
      </c>
    </row>
    <row r="29" ht="20" customHeight="1">
      <c r="A29" s="38" t="inlineStr">
        <is>
          <t>Week 4</t>
        </is>
      </c>
      <c r="B29" s="39" t="inlineStr">
        <is>
          <t>Airport</t>
        </is>
      </c>
      <c r="C29" s="39" t="inlineStr">
        <is>
          <t>Airport / one-way rate table APIs</t>
        </is>
      </c>
      <c r="J29" s="42" t="inlineStr">
        <is>
          <t>Later</t>
        </is>
      </c>
      <c r="K29" s="43" t="inlineStr">
        <is>
          <t>Partners</t>
        </is>
      </c>
      <c r="L29" s="43" t="inlineStr">
        <is>
          <t>Partners API spec</t>
        </is>
      </c>
    </row>
    <row r="30" ht="20" customHeight="1">
      <c r="A30" s="38" t="inlineStr">
        <is>
          <t>Later</t>
        </is>
      </c>
      <c r="B30" s="39" t="inlineStr">
        <is>
          <t>Airport</t>
        </is>
      </c>
      <c r="C30" s="39" t="inlineStr">
        <is>
          <t>Tour package APIs</t>
        </is>
      </c>
      <c r="J30" s="42" t="inlineStr">
        <is>
          <t>Week 1</t>
        </is>
      </c>
      <c r="K30" s="43" t="inlineStr">
        <is>
          <t>Admin</t>
        </is>
      </c>
      <c r="L30" s="43" t="inlineStr">
        <is>
          <t>Admin / multi-city spec</t>
        </is>
      </c>
    </row>
    <row r="31" ht="20" customHeight="1">
      <c r="A31" s="38" t="inlineStr">
        <is>
          <t>Week 3</t>
        </is>
      </c>
      <c r="B31" s="39" t="inlineStr">
        <is>
          <t>KYC</t>
        </is>
      </c>
      <c r="C31" s="39" t="inlineStr">
        <is>
          <t>Upload + admin approve/reject APIs</t>
        </is>
      </c>
      <c r="J31" s="42" t="inlineStr">
        <is>
          <t>Later</t>
        </is>
      </c>
      <c r="K31" s="43" t="inlineStr">
        <is>
          <t>Finance</t>
        </is>
      </c>
      <c r="L31" s="43" t="inlineStr">
        <is>
          <t>Finance API spec</t>
        </is>
      </c>
    </row>
    <row r="32" ht="20" customHeight="1">
      <c r="A32" s="38" t="inlineStr">
        <is>
          <t>Week 3</t>
        </is>
      </c>
      <c r="B32" s="39" t="inlineStr">
        <is>
          <t>KYC</t>
        </is>
      </c>
      <c r="C32" s="39" t="inlineStr">
        <is>
          <t>Gate booking on AWAITING_KYC</t>
        </is>
      </c>
      <c r="J32" s="42" t="inlineStr">
        <is>
          <t>Week 2</t>
        </is>
      </c>
      <c r="K32" s="43" t="inlineStr">
        <is>
          <t>Offers</t>
        </is>
      </c>
      <c r="L32" s="43" t="inlineStr">
        <is>
          <t>Offers API spec</t>
        </is>
      </c>
    </row>
    <row r="33" ht="20" customHeight="1">
      <c r="A33" s="38" t="inlineStr">
        <is>
          <t>Week 3</t>
        </is>
      </c>
      <c r="B33" s="39" t="inlineStr">
        <is>
          <t>E-sign</t>
        </is>
      </c>
      <c r="C33" s="39" t="inlineStr">
        <is>
          <t>Agreement PDF from booking snapshot</t>
        </is>
      </c>
      <c r="J33" s="42" t="inlineStr">
        <is>
          <t>Later</t>
        </is>
      </c>
      <c r="K33" s="43" t="inlineStr">
        <is>
          <t>Reviews</t>
        </is>
      </c>
      <c r="L33" s="43" t="inlineStr">
        <is>
          <t>Reviews API spec</t>
        </is>
      </c>
    </row>
    <row r="34" ht="20" customHeight="1">
      <c r="A34" s="38" t="inlineStr">
        <is>
          <t>Week 3</t>
        </is>
      </c>
      <c r="B34" s="39" t="inlineStr">
        <is>
          <t>E-sign</t>
        </is>
      </c>
      <c r="C34" s="39" t="inlineStr">
        <is>
          <t>Leegality send + webhook</t>
        </is>
      </c>
      <c r="J34" s="42" t="inlineStr">
        <is>
          <t>Week 1</t>
        </is>
      </c>
      <c r="K34" s="43" t="inlineStr">
        <is>
          <t>Notify</t>
        </is>
      </c>
      <c r="L34" s="43" t="inlineStr">
        <is>
          <t>Notifications API spec</t>
        </is>
      </c>
    </row>
    <row r="35" ht="20" customHeight="1">
      <c r="A35" s="38" t="inlineStr">
        <is>
          <t>Week 3</t>
        </is>
      </c>
      <c r="B35" s="39" t="inlineStr">
        <is>
          <t>E-sign</t>
        </is>
      </c>
      <c r="C35" s="39" t="inlineStr">
        <is>
          <t>Advance to CONFIRMED after sign</t>
        </is>
      </c>
      <c r="J35" s="42" t="inlineStr">
        <is>
          <t>Week 1</t>
        </is>
      </c>
      <c r="K35" s="43" t="inlineStr">
        <is>
          <t>Notify</t>
        </is>
      </c>
      <c r="L35" s="43" t="inlineStr">
        <is>
          <t>Notification Nest stub</t>
        </is>
      </c>
    </row>
    <row r="36" ht="20" customHeight="1">
      <c r="A36" s="38" t="inlineStr">
        <is>
          <t>Week 1</t>
        </is>
      </c>
      <c r="B36" s="39" t="inlineStr">
        <is>
          <t>Fleet</t>
        </is>
      </c>
      <c r="C36" s="39" t="inlineStr">
        <is>
          <t>City, Branch, Vehicle APIs</t>
        </is>
      </c>
      <c r="J36" s="42" t="inlineStr">
        <is>
          <t>Week 3</t>
        </is>
      </c>
      <c r="K36" s="43" t="inlineStr">
        <is>
          <t>CRM</t>
        </is>
      </c>
      <c r="L36" s="43" t="inlineStr">
        <is>
          <t>CRM API spec</t>
        </is>
      </c>
    </row>
    <row r="37" ht="20" customHeight="1">
      <c r="A37" s="38" t="inlineStr">
        <is>
          <t>Week 4</t>
        </is>
      </c>
      <c r="B37" s="39" t="inlineStr">
        <is>
          <t>Fleet</t>
        </is>
      </c>
      <c r="C37" s="39" t="inlineStr">
        <is>
          <t>Assign vehicle to confirmed booking API</t>
        </is>
      </c>
    </row>
    <row r="38" ht="20" customHeight="1">
      <c r="A38" s="38" t="inlineStr">
        <is>
          <t>Later</t>
        </is>
      </c>
      <c r="B38" s="39" t="inlineStr">
        <is>
          <t>Workshop</t>
        </is>
      </c>
      <c r="C38" s="39" t="inlineStr">
        <is>
          <t>Jobs + workshop calendar APIs</t>
        </is>
      </c>
    </row>
    <row r="39" ht="20" customHeight="1">
      <c r="A39" s="38" t="inlineStr">
        <is>
          <t>Later</t>
        </is>
      </c>
      <c r="B39" s="39" t="inlineStr">
        <is>
          <t>Workshop</t>
        </is>
      </c>
      <c r="C39" s="39" t="inlineStr">
        <is>
          <t>Write AvailabilityBlock on schedule</t>
        </is>
      </c>
    </row>
    <row r="40" ht="20" customHeight="1">
      <c r="A40" s="38" t="inlineStr">
        <is>
          <t>Week 4</t>
        </is>
      </c>
      <c r="B40" s="39" t="inlineStr">
        <is>
          <t>Handover</t>
        </is>
      </c>
      <c r="C40" s="39" t="inlineStr">
        <is>
          <t>Handover API: odometer + photos</t>
        </is>
      </c>
    </row>
    <row r="41" ht="20" customHeight="1">
      <c r="A41" s="38" t="inlineStr">
        <is>
          <t>Week 4</t>
        </is>
      </c>
      <c r="B41" s="39" t="inlineStr">
        <is>
          <t>Handover</t>
        </is>
      </c>
      <c r="C41" s="39" t="inlineStr">
        <is>
          <t>Return + close booking API</t>
        </is>
      </c>
    </row>
    <row r="42" ht="20" customHeight="1">
      <c r="A42" s="38" t="inlineStr">
        <is>
          <t>Week 4</t>
        </is>
      </c>
      <c r="B42" s="39" t="inlineStr">
        <is>
          <t>Drivers</t>
        </is>
      </c>
      <c r="C42" s="39" t="inlineStr">
        <is>
          <t>Driver roster + assign APIs</t>
        </is>
      </c>
    </row>
    <row r="43" ht="20" customHeight="1">
      <c r="A43" s="38" t="inlineStr">
        <is>
          <t>Later</t>
        </is>
      </c>
      <c r="B43" s="39" t="inlineStr">
        <is>
          <t>Partners</t>
        </is>
      </c>
      <c r="C43" s="39" t="inlineStr">
        <is>
          <t>Partner cars + commission ledger APIs</t>
        </is>
      </c>
    </row>
    <row r="44" ht="20" customHeight="1">
      <c r="A44" s="38" t="inlineStr">
        <is>
          <t>Later</t>
        </is>
      </c>
      <c r="B44" s="39" t="inlineStr">
        <is>
          <t>Partners</t>
        </is>
      </c>
      <c r="C44" s="39" t="inlineStr">
        <is>
          <t>Settlements APIs (no partner portal)</t>
        </is>
      </c>
    </row>
    <row r="45" ht="20" customHeight="1">
      <c r="A45" s="38" t="inlineStr">
        <is>
          <t>Week 4</t>
        </is>
      </c>
      <c r="B45" s="39" t="inlineStr">
        <is>
          <t>Admin</t>
        </is>
      </c>
      <c r="C45" s="39" t="inlineStr">
        <is>
          <t>Dashboard KPI APIs</t>
        </is>
      </c>
    </row>
    <row r="46" ht="20" customHeight="1">
      <c r="A46" s="38" t="inlineStr">
        <is>
          <t>Week 4</t>
        </is>
      </c>
      <c r="B46" s="39" t="inlineStr">
        <is>
          <t>Admin</t>
        </is>
      </c>
      <c r="C46" s="39" t="inlineStr">
        <is>
          <t>City / branch scoped RBAC on APIs</t>
        </is>
      </c>
    </row>
    <row r="47" ht="20" customHeight="1">
      <c r="A47" s="38" t="inlineStr">
        <is>
          <t>Later</t>
        </is>
      </c>
      <c r="B47" s="39" t="inlineStr">
        <is>
          <t>Finance</t>
        </is>
      </c>
      <c r="C47" s="39" t="inlineStr">
        <is>
          <t>Revenue / deposits / GST report APIs</t>
        </is>
      </c>
    </row>
    <row r="48" ht="20" customHeight="1">
      <c r="A48" s="38" t="inlineStr">
        <is>
          <t>Week 2</t>
        </is>
      </c>
      <c r="B48" s="39" t="inlineStr">
        <is>
          <t>Offers</t>
        </is>
      </c>
      <c r="C48" s="39" t="inlineStr">
        <is>
          <t>Flat / percent offer code APIs</t>
        </is>
      </c>
    </row>
    <row r="49" ht="20" customHeight="1">
      <c r="A49" s="38" t="inlineStr">
        <is>
          <t>Later</t>
        </is>
      </c>
      <c r="B49" s="39" t="inlineStr">
        <is>
          <t>Offers</t>
        </is>
      </c>
      <c r="C49" s="39" t="inlineStr">
        <is>
          <t>Wallet + loyalty APIs</t>
        </is>
      </c>
    </row>
    <row r="50" ht="20" customHeight="1">
      <c r="A50" s="38" t="inlineStr">
        <is>
          <t>Later</t>
        </is>
      </c>
      <c r="B50" s="39" t="inlineStr">
        <is>
          <t>Reviews</t>
        </is>
      </c>
      <c r="C50" s="39" t="inlineStr">
        <is>
          <t>Review invite + ticket APIs</t>
        </is>
      </c>
    </row>
    <row r="51" ht="20" customHeight="1">
      <c r="A51" s="38" t="inlineStr">
        <is>
          <t>Week 1</t>
        </is>
      </c>
      <c r="B51" s="39" t="inlineStr">
        <is>
          <t>Notify</t>
        </is>
      </c>
      <c r="C51" s="39" t="inlineStr">
        <is>
          <t>OTP email (port Gmail OAuth)</t>
        </is>
      </c>
    </row>
    <row r="52" ht="20" customHeight="1">
      <c r="A52" s="38" t="inlineStr">
        <is>
          <t>Week 3</t>
        </is>
      </c>
      <c r="B52" s="39" t="inlineStr">
        <is>
          <t>Notify</t>
        </is>
      </c>
      <c r="C52" s="39" t="inlineStr">
        <is>
          <t>Booking confirmation HTML email</t>
        </is>
      </c>
    </row>
    <row r="53" ht="20" customHeight="1">
      <c r="A53" s="38" t="inlineStr">
        <is>
          <t>Week 3</t>
        </is>
      </c>
      <c r="B53" s="39" t="inlineStr">
        <is>
          <t>CRM</t>
        </is>
      </c>
      <c r="C53" s="39" t="inlineStr">
        <is>
          <t>Zoho form webhook → lead</t>
        </is>
      </c>
    </row>
    <row r="54" ht="20" customHeight="1">
      <c r="A54" s="38" t="inlineStr">
        <is>
          <t>Week 4</t>
        </is>
      </c>
      <c r="B54" s="39" t="inlineStr">
        <is>
          <t>CRM</t>
        </is>
      </c>
      <c r="C54" s="39" t="inlineStr">
        <is>
          <t>Contact form → CRM lead API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96F3D"/>
    <outlinePr summaryBelow="1" summaryRight="1"/>
    <pageSetUpPr fitToPage="1"/>
  </sheetPr>
  <dimension ref="A1:L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14" customWidth="1" min="5" max="5"/>
    <col width="36" customWidth="1" min="6" max="6"/>
    <col width="10" customWidth="1" min="7" max="7"/>
    <col width="14" customWidth="1" min="8" max="8"/>
    <col width="36" customWidth="1" min="9" max="9"/>
    <col width="10" customWidth="1" min="10" max="10"/>
    <col width="14" customWidth="1" min="11" max="11"/>
    <col width="36" customWidth="1" min="12" max="12"/>
  </cols>
  <sheetData>
    <row r="1" ht="26" customHeight="1">
      <c r="A1" s="1" t="inlineStr">
        <is>
          <t>Frontend board  ·  2 of 38 completed</t>
        </is>
      </c>
    </row>
    <row r="2">
      <c r="A2" s="2" t="inlineStr">
        <is>
          <t>Next.js web, Next.js admin, Expo mobile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Module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Module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Module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Module</t>
        </is>
      </c>
      <c r="L5" s="37" t="inlineStr">
        <is>
          <t>Task</t>
        </is>
      </c>
    </row>
    <row r="6" ht="20" customHeight="1">
      <c r="A6" s="38" t="inlineStr">
        <is>
          <t>Week 1</t>
        </is>
      </c>
      <c r="B6" s="39" t="inlineStr">
        <is>
          <t>Foundation</t>
        </is>
      </c>
      <c r="C6" s="39" t="inlineStr">
        <is>
          <t>Web/admin Tailwind + shadcn shells</t>
        </is>
      </c>
      <c r="J6" s="42" t="inlineStr">
        <is>
          <t>Week 1</t>
        </is>
      </c>
      <c r="K6" s="43" t="inlineStr">
        <is>
          <t>Foundation</t>
        </is>
      </c>
      <c r="L6" s="43" t="inlineStr">
        <is>
          <t>Next.js web + admin package stubs</t>
        </is>
      </c>
    </row>
    <row r="7" ht="20" customHeight="1">
      <c r="A7" s="38" t="inlineStr">
        <is>
          <t>Week 1</t>
        </is>
      </c>
      <c r="B7" s="39" t="inlineStr">
        <is>
          <t>Foundation</t>
        </is>
      </c>
      <c r="C7" s="39" t="inlineStr">
        <is>
          <t>Wire apps to gateway API base URL</t>
        </is>
      </c>
      <c r="J7" s="42" t="inlineStr">
        <is>
          <t>Later</t>
        </is>
      </c>
      <c r="K7" s="43" t="inlineStr">
        <is>
          <t>Mobile</t>
        </is>
      </c>
      <c r="L7" s="43" t="inlineStr">
        <is>
          <t>Mobile spec</t>
        </is>
      </c>
    </row>
    <row r="8" ht="20" customHeight="1">
      <c r="A8" s="38" t="inlineStr">
        <is>
          <t>Week 4</t>
        </is>
      </c>
      <c r="B8" s="39" t="inlineStr">
        <is>
          <t>Foundation</t>
        </is>
      </c>
      <c r="C8" s="39" t="inlineStr">
        <is>
          <t>Web + admin staging deploy</t>
        </is>
      </c>
    </row>
    <row r="9" ht="20" customHeight="1">
      <c r="A9" s="38" t="inlineStr">
        <is>
          <t>Week 1</t>
        </is>
      </c>
      <c r="B9" s="39" t="inlineStr">
        <is>
          <t>Auth</t>
        </is>
      </c>
      <c r="C9" s="39" t="inlineStr">
        <is>
          <t>Web login / signup + OTP verify UI</t>
        </is>
      </c>
    </row>
    <row r="10" ht="20" customHeight="1">
      <c r="A10" s="38" t="inlineStr">
        <is>
          <t>Week 1</t>
        </is>
      </c>
      <c r="B10" s="39" t="inlineStr">
        <is>
          <t>Auth</t>
        </is>
      </c>
      <c r="C10" s="39" t="inlineStr">
        <is>
          <t>Admin login (Firebase)</t>
        </is>
      </c>
    </row>
    <row r="11" ht="20" customHeight="1">
      <c r="A11" s="38" t="inlineStr">
        <is>
          <t>Week 4</t>
        </is>
      </c>
      <c r="B11" s="39" t="inlineStr">
        <is>
          <t>CMS</t>
        </is>
      </c>
      <c r="C11" s="39" t="inlineStr">
        <is>
          <t>Web home banners, blogs, contact page</t>
        </is>
      </c>
    </row>
    <row r="12" ht="20" customHeight="1">
      <c r="A12" s="38" t="inlineStr">
        <is>
          <t>Week 4</t>
        </is>
      </c>
      <c r="B12" s="39" t="inlineStr">
        <is>
          <t>CMS</t>
        </is>
      </c>
      <c r="C12" s="39" t="inlineStr">
        <is>
          <t>Admin CMS screens</t>
        </is>
      </c>
    </row>
    <row r="13" ht="20" customHeight="1">
      <c r="A13" s="38" t="inlineStr">
        <is>
          <t>Week 1</t>
        </is>
      </c>
      <c r="B13" s="39" t="inlineStr">
        <is>
          <t>Dashboard</t>
        </is>
      </c>
      <c r="C13" s="39" t="inlineStr">
        <is>
          <t>Web account shell</t>
        </is>
      </c>
    </row>
    <row r="14" ht="20" customHeight="1">
      <c r="A14" s="38" t="inlineStr">
        <is>
          <t>Week 2</t>
        </is>
      </c>
      <c r="B14" s="39" t="inlineStr">
        <is>
          <t>Dashboard</t>
        </is>
      </c>
      <c r="C14" s="39" t="inlineStr">
        <is>
          <t>Customer bookings list UI</t>
        </is>
      </c>
    </row>
    <row r="15" ht="20" customHeight="1">
      <c r="A15" s="38" t="inlineStr">
        <is>
          <t>Week 3</t>
        </is>
      </c>
      <c r="B15" s="39" t="inlineStr">
        <is>
          <t>Dashboard</t>
        </is>
      </c>
      <c r="C15" s="39" t="inlineStr">
        <is>
          <t>Tracking page after confirm</t>
        </is>
      </c>
    </row>
    <row r="16" ht="20" customHeight="1">
      <c r="A16" s="38" t="inlineStr">
        <is>
          <t>Week 1</t>
        </is>
      </c>
      <c r="B16" s="39" t="inlineStr">
        <is>
          <t>Search</t>
        </is>
      </c>
      <c r="C16" s="39" t="inlineStr">
        <is>
          <t>Public car list + search UI</t>
        </is>
      </c>
    </row>
    <row r="17" ht="20" customHeight="1">
      <c r="A17" s="38" t="inlineStr">
        <is>
          <t>Week 2</t>
        </is>
      </c>
      <c r="B17" s="39" t="inlineStr">
        <is>
          <t>Search</t>
        </is>
      </c>
      <c r="C17" s="39" t="inlineStr">
        <is>
          <t>Availability calendar on car page</t>
        </is>
      </c>
    </row>
    <row r="18" ht="20" customHeight="1">
      <c r="A18" s="38" t="inlineStr">
        <is>
          <t>Week 2</t>
        </is>
      </c>
      <c r="B18" s="39" t="inlineStr">
        <is>
          <t>Booking</t>
        </is>
      </c>
      <c r="C18" s="39" t="inlineStr">
        <is>
          <t>Web checkout: quote → hold → pay</t>
        </is>
      </c>
    </row>
    <row r="19" ht="20" customHeight="1">
      <c r="A19" s="38" t="inlineStr">
        <is>
          <t>Week 2</t>
        </is>
      </c>
      <c r="B19" s="39" t="inlineStr">
        <is>
          <t>Booking</t>
        </is>
      </c>
      <c r="C19" s="39" t="inlineStr">
        <is>
          <t>Admin bookings list screens</t>
        </is>
      </c>
    </row>
    <row r="20" ht="20" customHeight="1">
      <c r="A20" s="38" t="inlineStr">
        <is>
          <t>Week 4</t>
        </is>
      </c>
      <c r="B20" s="39" t="inlineStr">
        <is>
          <t>Booking</t>
        </is>
      </c>
      <c r="C20" s="39" t="inlineStr">
        <is>
          <t>Admin assign vehicle/driver UI</t>
        </is>
      </c>
    </row>
    <row r="21" ht="20" customHeight="1">
      <c r="A21" s="38" t="inlineStr">
        <is>
          <t>Week 2</t>
        </is>
      </c>
      <c r="B21" s="39" t="inlineStr">
        <is>
          <t>Payments</t>
        </is>
      </c>
      <c r="C21" s="39" t="inlineStr">
        <is>
          <t>Checkout pay + success poll UI</t>
        </is>
      </c>
    </row>
    <row r="22" ht="20" customHeight="1">
      <c r="A22" s="38" t="inlineStr">
        <is>
          <t>Later</t>
        </is>
      </c>
      <c r="B22" s="39" t="inlineStr">
        <is>
          <t>Subscription</t>
        </is>
      </c>
      <c r="C22" s="39" t="inlineStr">
        <is>
          <t>Subscription plans + checkout UI</t>
        </is>
      </c>
    </row>
    <row r="23" ht="20" customHeight="1">
      <c r="A23" s="38" t="inlineStr">
        <is>
          <t>Week 4</t>
        </is>
      </c>
      <c r="B23" s="39" t="inlineStr">
        <is>
          <t>Airport</t>
        </is>
      </c>
      <c r="C23" s="39" t="inlineStr">
        <is>
          <t>Airport / one-way search options UI</t>
        </is>
      </c>
    </row>
    <row r="24" ht="20" customHeight="1">
      <c r="A24" s="38" t="inlineStr">
        <is>
          <t>Week 3</t>
        </is>
      </c>
      <c r="B24" s="39" t="inlineStr">
        <is>
          <t>KYC</t>
        </is>
      </c>
      <c r="C24" s="39" t="inlineStr">
        <is>
          <t>Customer KYC upload UI</t>
        </is>
      </c>
    </row>
    <row r="25" ht="20" customHeight="1">
      <c r="A25" s="38" t="inlineStr">
        <is>
          <t>Week 3</t>
        </is>
      </c>
      <c r="B25" s="39" t="inlineStr">
        <is>
          <t>KYC</t>
        </is>
      </c>
      <c r="C25" s="39" t="inlineStr">
        <is>
          <t>Admin KYC review screens</t>
        </is>
      </c>
    </row>
    <row r="26" ht="20" customHeight="1">
      <c r="A26" s="38" t="inlineStr">
        <is>
          <t>Week 3</t>
        </is>
      </c>
      <c r="B26" s="39" t="inlineStr">
        <is>
          <t>E-sign</t>
        </is>
      </c>
      <c r="C26" s="39" t="inlineStr">
        <is>
          <t>Customer sign / status page</t>
        </is>
      </c>
    </row>
    <row r="27" ht="20" customHeight="1">
      <c r="A27" s="38" t="inlineStr">
        <is>
          <t>Week 1</t>
        </is>
      </c>
      <c r="B27" s="39" t="inlineStr">
        <is>
          <t>Fleet</t>
        </is>
      </c>
      <c r="C27" s="39" t="inlineStr">
        <is>
          <t>Admin cars + vehicles CRUD screens</t>
        </is>
      </c>
    </row>
    <row r="28" ht="20" customHeight="1">
      <c r="A28" s="38" t="inlineStr">
        <is>
          <t>Later</t>
        </is>
      </c>
      <c r="B28" s="39" t="inlineStr">
        <is>
          <t>Workshop</t>
        </is>
      </c>
      <c r="C28" s="39" t="inlineStr">
        <is>
          <t>Admin workshop screens</t>
        </is>
      </c>
    </row>
    <row r="29" ht="20" customHeight="1">
      <c r="A29" s="38" t="inlineStr">
        <is>
          <t>Week 4</t>
        </is>
      </c>
      <c r="B29" s="39" t="inlineStr">
        <is>
          <t>Handover</t>
        </is>
      </c>
      <c r="C29" s="39" t="inlineStr">
        <is>
          <t>Admin handover / return screens</t>
        </is>
      </c>
    </row>
    <row r="30" ht="20" customHeight="1">
      <c r="A30" s="38" t="inlineStr">
        <is>
          <t>Week 4</t>
        </is>
      </c>
      <c r="B30" s="39" t="inlineStr">
        <is>
          <t>Drivers</t>
        </is>
      </c>
      <c r="C30" s="39" t="inlineStr">
        <is>
          <t>Admin driver roster screens</t>
        </is>
      </c>
    </row>
    <row r="31" ht="20" customHeight="1">
      <c r="A31" s="38" t="inlineStr">
        <is>
          <t>Later</t>
        </is>
      </c>
      <c r="B31" s="39" t="inlineStr">
        <is>
          <t>Partners</t>
        </is>
      </c>
      <c r="C31" s="39" t="inlineStr">
        <is>
          <t>Admin partner + settlement screens</t>
        </is>
      </c>
    </row>
    <row r="32" ht="20" customHeight="1">
      <c r="A32" s="38" t="inlineStr">
        <is>
          <t>Week 1</t>
        </is>
      </c>
      <c r="B32" s="39" t="inlineStr">
        <is>
          <t>Admin</t>
        </is>
      </c>
      <c r="C32" s="39" t="inlineStr">
        <is>
          <t>Admin app shell + nav</t>
        </is>
      </c>
    </row>
    <row r="33" ht="20" customHeight="1">
      <c r="A33" s="38" t="inlineStr">
        <is>
          <t>Week 1</t>
        </is>
      </c>
      <c r="B33" s="39" t="inlineStr">
        <is>
          <t>Admin</t>
        </is>
      </c>
      <c r="C33" s="39" t="inlineStr">
        <is>
          <t>Staff, cars, vehicles screens</t>
        </is>
      </c>
    </row>
    <row r="34" ht="20" customHeight="1">
      <c r="A34" s="38" t="inlineStr">
        <is>
          <t>Week 4</t>
        </is>
      </c>
      <c r="B34" s="39" t="inlineStr">
        <is>
          <t>Admin</t>
        </is>
      </c>
      <c r="C34" s="39" t="inlineStr">
        <is>
          <t>Dashboard KPI screens</t>
        </is>
      </c>
    </row>
    <row r="35" ht="20" customHeight="1">
      <c r="A35" s="38" t="inlineStr">
        <is>
          <t>Week 4</t>
        </is>
      </c>
      <c r="B35" s="39" t="inlineStr">
        <is>
          <t>Admin</t>
        </is>
      </c>
      <c r="C35" s="39" t="inlineStr">
        <is>
          <t>City / branch scoped nav + filters</t>
        </is>
      </c>
    </row>
    <row r="36" ht="20" customHeight="1">
      <c r="A36" s="38" t="inlineStr">
        <is>
          <t>Later</t>
        </is>
      </c>
      <c r="B36" s="39" t="inlineStr">
        <is>
          <t>Finance</t>
        </is>
      </c>
      <c r="C36" s="39" t="inlineStr">
        <is>
          <t>Admin finance report screens</t>
        </is>
      </c>
    </row>
    <row r="37" ht="20" customHeight="1">
      <c r="A37" s="38" t="inlineStr">
        <is>
          <t>Week 2</t>
        </is>
      </c>
      <c r="B37" s="39" t="inlineStr">
        <is>
          <t>Offers</t>
        </is>
      </c>
      <c r="C37" s="39" t="inlineStr">
        <is>
          <t>Checkout apply offer code UI</t>
        </is>
      </c>
    </row>
    <row r="38" ht="20" customHeight="1">
      <c r="A38" s="38" t="inlineStr">
        <is>
          <t>Week 2</t>
        </is>
      </c>
      <c r="B38" s="39" t="inlineStr">
        <is>
          <t>Offers</t>
        </is>
      </c>
      <c r="C38" s="39" t="inlineStr">
        <is>
          <t>Admin offers screens</t>
        </is>
      </c>
    </row>
    <row r="39" ht="20" customHeight="1">
      <c r="A39" s="38" t="inlineStr">
        <is>
          <t>Later</t>
        </is>
      </c>
      <c r="B39" s="39" t="inlineStr">
        <is>
          <t>Reviews</t>
        </is>
      </c>
      <c r="C39" s="39" t="inlineStr">
        <is>
          <t>Post-trip review + support UI</t>
        </is>
      </c>
    </row>
    <row r="40" ht="20" customHeight="1">
      <c r="A40" s="38" t="inlineStr">
        <is>
          <t>Week 4</t>
        </is>
      </c>
      <c r="B40" s="39" t="inlineStr">
        <is>
          <t>CRM</t>
        </is>
      </c>
      <c r="C40" s="39" t="inlineStr">
        <is>
          <t>Admin leads list screens</t>
        </is>
      </c>
    </row>
    <row r="41" ht="20" customHeight="1">
      <c r="A41" s="38" t="inlineStr">
        <is>
          <t>Later</t>
        </is>
      </c>
      <c r="B41" s="39" t="inlineStr">
        <is>
          <t>Mobile</t>
        </is>
      </c>
      <c r="C41" s="39" t="inlineStr">
        <is>
          <t>Expo app: search, book, track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Foundation  ·  gateway, infra, web, admin  ·  8 backend / 4 frontend  ·  4/12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Week 1</t>
        </is>
      </c>
      <c r="B6" s="20" t="inlineStr">
        <is>
          <t>Backend</t>
        </is>
      </c>
      <c r="C6" s="44" t="inlineStr">
        <is>
          <t>Prisma migrate on local Docker</t>
        </is>
      </c>
      <c r="G6" s="40" t="inlineStr">
        <is>
          <t>Week 1</t>
        </is>
      </c>
      <c r="H6" s="20" t="inlineStr">
        <is>
          <t>Backend</t>
        </is>
      </c>
      <c r="I6" s="45" t="inlineStr">
        <is>
          <t>Prisma schema draft (all domains)</t>
        </is>
      </c>
      <c r="J6" s="42" t="inlineStr">
        <is>
          <t>Week 1</t>
        </is>
      </c>
      <c r="K6" s="20" t="inlineStr">
        <is>
          <t>Backend</t>
        </is>
      </c>
      <c r="L6" s="46" t="inlineStr">
        <is>
          <t>Monorepo, turbo, Nest service packages</t>
        </is>
      </c>
    </row>
    <row r="7" ht="20" customHeight="1">
      <c r="A7" s="38" t="inlineStr">
        <is>
          <t>Week 1</t>
        </is>
      </c>
      <c r="B7" s="20" t="inlineStr">
        <is>
          <t>Backend</t>
        </is>
      </c>
      <c r="C7" s="44" t="inlineStr">
        <is>
          <t>Gateway Firebase JWT verify + /v1 proxy</t>
        </is>
      </c>
      <c r="J7" s="42" t="inlineStr">
        <is>
          <t>Week 1</t>
        </is>
      </c>
      <c r="K7" s="20" t="inlineStr">
        <is>
          <t>Backend</t>
        </is>
      </c>
      <c r="L7" s="46" t="inlineStr">
        <is>
          <t>Docker Compose Postgres + Redis</t>
        </is>
      </c>
    </row>
    <row r="8" ht="20" customHeight="1">
      <c r="A8" s="38" t="inlineStr">
        <is>
          <t>Week 1</t>
        </is>
      </c>
      <c r="B8" s="20" t="inlineStr">
        <is>
          <t>Backend</t>
        </is>
      </c>
      <c r="C8" s="44" t="inlineStr">
        <is>
          <t>Shared env + service ports</t>
        </is>
      </c>
      <c r="J8" s="42" t="inlineStr">
        <is>
          <t>Week 1</t>
        </is>
      </c>
      <c r="K8" s="20" t="inlineStr">
        <is>
          <t>Backend</t>
        </is>
      </c>
      <c r="L8" s="46" t="inlineStr">
        <is>
          <t>NestJS service stubs + health</t>
        </is>
      </c>
    </row>
    <row r="9" ht="20" customHeight="1">
      <c r="A9" s="38" t="inlineStr">
        <is>
          <t>Week 4</t>
        </is>
      </c>
      <c r="B9" s="20" t="inlineStr">
        <is>
          <t>Backend</t>
        </is>
      </c>
      <c r="C9" s="44" t="inlineStr">
        <is>
          <t>Rate limits, audit, staging API deploy</t>
        </is>
      </c>
      <c r="J9" s="42" t="inlineStr">
        <is>
          <t>Week 1</t>
        </is>
      </c>
      <c r="K9" s="21" t="inlineStr">
        <is>
          <t>Frontend</t>
        </is>
      </c>
      <c r="L9" s="46" t="inlineStr">
        <is>
          <t>Next.js web + admin package stubs</t>
        </is>
      </c>
    </row>
    <row r="10" ht="20" customHeight="1">
      <c r="A10" s="38" t="inlineStr">
        <is>
          <t>Week 1</t>
        </is>
      </c>
      <c r="B10" s="21" t="inlineStr">
        <is>
          <t>Frontend</t>
        </is>
      </c>
      <c r="C10" s="44" t="inlineStr">
        <is>
          <t>Web/admin Tailwind + shadcn shells</t>
        </is>
      </c>
    </row>
    <row r="11" ht="20" customHeight="1">
      <c r="A11" s="38" t="inlineStr">
        <is>
          <t>Week 1</t>
        </is>
      </c>
      <c r="B11" s="21" t="inlineStr">
        <is>
          <t>Frontend</t>
        </is>
      </c>
      <c r="C11" s="44" t="inlineStr">
        <is>
          <t>Wire apps to gateway API base URL</t>
        </is>
      </c>
    </row>
    <row r="12" ht="20" customHeight="1">
      <c r="A12" s="38" t="inlineStr">
        <is>
          <t>Week 4</t>
        </is>
      </c>
      <c r="B12" s="21" t="inlineStr">
        <is>
          <t>Frontend</t>
        </is>
      </c>
      <c r="C12" s="44" t="inlineStr">
        <is>
          <t>Web + admin staging deploy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Auth  ·  identity  ·  6 backend / 2 frontend  ·  2/8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Week 1</t>
        </is>
      </c>
      <c r="B6" s="20" t="inlineStr">
        <is>
          <t>Backend</t>
        </is>
      </c>
      <c r="C6" s="44" t="inlineStr">
        <is>
          <t>POST /v1/auth/sync from Firebase token</t>
        </is>
      </c>
      <c r="J6" s="42" t="inlineStr">
        <is>
          <t>Week 1</t>
        </is>
      </c>
      <c r="K6" s="20" t="inlineStr">
        <is>
          <t>Backend</t>
        </is>
      </c>
      <c r="L6" s="46" t="inlineStr">
        <is>
          <t>Auth API + RBAC spec</t>
        </is>
      </c>
    </row>
    <row r="7" ht="20" customHeight="1">
      <c r="A7" s="38" t="inlineStr">
        <is>
          <t>Week 1</t>
        </is>
      </c>
      <c r="B7" s="20" t="inlineStr">
        <is>
          <t>Backend</t>
        </is>
      </c>
      <c r="C7" s="44" t="inlineStr">
        <is>
          <t>GET/PATCH /v1/me + roles</t>
        </is>
      </c>
      <c r="J7" s="42" t="inlineStr">
        <is>
          <t>Week 1</t>
        </is>
      </c>
      <c r="K7" s="20" t="inlineStr">
        <is>
          <t>Backend</t>
        </is>
      </c>
      <c r="L7" s="46" t="inlineStr">
        <is>
          <t>Identity Nest stub</t>
        </is>
      </c>
    </row>
    <row r="8" ht="20" customHeight="1">
      <c r="A8" s="38" t="inlineStr">
        <is>
          <t>Week 1</t>
        </is>
      </c>
      <c r="B8" s="20" t="inlineStr">
        <is>
          <t>Backend</t>
        </is>
      </c>
      <c r="C8" s="44" t="inlineStr">
        <is>
          <t>Invite staff, assign roles, disable APIs</t>
        </is>
      </c>
    </row>
    <row r="9" ht="20" customHeight="1">
      <c r="A9" s="38" t="inlineStr">
        <is>
          <t>Week 4</t>
        </is>
      </c>
      <c r="B9" s="20" t="inlineStr">
        <is>
          <t>Backend</t>
        </is>
      </c>
      <c r="C9" s="44" t="inlineStr">
        <is>
          <t>Audit log for privileged writes</t>
        </is>
      </c>
    </row>
    <row r="10" ht="20" customHeight="1">
      <c r="A10" s="38" t="inlineStr">
        <is>
          <t>Week 1</t>
        </is>
      </c>
      <c r="B10" s="21" t="inlineStr">
        <is>
          <t>Frontend</t>
        </is>
      </c>
      <c r="C10" s="44" t="inlineStr">
        <is>
          <t>Web login / signup + OTP verify UI</t>
        </is>
      </c>
    </row>
    <row r="11" ht="20" customHeight="1">
      <c r="A11" s="38" t="inlineStr">
        <is>
          <t>Week 1</t>
        </is>
      </c>
      <c r="B11" s="21" t="inlineStr">
        <is>
          <t>Frontend</t>
        </is>
      </c>
      <c r="C11" s="44" t="inlineStr">
        <is>
          <t>Admin login (Firebase)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CMS  ·  platform  ·  3 backend / 2 frontend  ·  1/5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Week 4</t>
        </is>
      </c>
      <c r="B6" s="20" t="inlineStr">
        <is>
          <t>Backend</t>
        </is>
      </c>
      <c r="C6" s="44" t="inlineStr">
        <is>
          <t>Public pages, banners, blogs APIs</t>
        </is>
      </c>
      <c r="J6" s="42" t="inlineStr">
        <is>
          <t>Week 4</t>
        </is>
      </c>
      <c r="K6" s="20" t="inlineStr">
        <is>
          <t>Backend</t>
        </is>
      </c>
      <c r="L6" s="46" t="inlineStr">
        <is>
          <t>CMS API spec</t>
        </is>
      </c>
    </row>
    <row r="7" ht="20" customHeight="1">
      <c r="A7" s="38" t="inlineStr">
        <is>
          <t>Week 4</t>
        </is>
      </c>
      <c r="B7" s="20" t="inlineStr">
        <is>
          <t>Backend</t>
        </is>
      </c>
      <c r="C7" s="44" t="inlineStr">
        <is>
          <t>Admin CMS CRUD + publish APIs</t>
        </is>
      </c>
    </row>
    <row r="8" ht="20" customHeight="1">
      <c r="A8" s="38" t="inlineStr">
        <is>
          <t>Week 4</t>
        </is>
      </c>
      <c r="B8" s="21" t="inlineStr">
        <is>
          <t>Frontend</t>
        </is>
      </c>
      <c r="C8" s="44" t="inlineStr">
        <is>
          <t>Web home banners, blogs, contact page</t>
        </is>
      </c>
    </row>
    <row r="9" ht="20" customHeight="1">
      <c r="A9" s="38" t="inlineStr">
        <is>
          <t>Week 4</t>
        </is>
      </c>
      <c r="B9" s="21" t="inlineStr">
        <is>
          <t>Frontend</t>
        </is>
      </c>
      <c r="C9" s="44" t="inlineStr">
        <is>
          <t>Admin CMS screens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Dashboard  ·  identity, web  ·  2 backend / 3 frontend  ·  1/5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Week 2</t>
        </is>
      </c>
      <c r="B6" s="20" t="inlineStr">
        <is>
          <t>Backend</t>
        </is>
      </c>
      <c r="C6" s="44" t="inlineStr">
        <is>
          <t>Customer bookings + profile APIs</t>
        </is>
      </c>
      <c r="J6" s="42" t="inlineStr">
        <is>
          <t>Week 1</t>
        </is>
      </c>
      <c r="K6" s="20" t="inlineStr">
        <is>
          <t>Backend</t>
        </is>
      </c>
      <c r="L6" s="46" t="inlineStr">
        <is>
          <t>Customer account API spec</t>
        </is>
      </c>
    </row>
    <row r="7" ht="20" customHeight="1">
      <c r="A7" s="38" t="inlineStr">
        <is>
          <t>Week 1</t>
        </is>
      </c>
      <c r="B7" s="21" t="inlineStr">
        <is>
          <t>Frontend</t>
        </is>
      </c>
      <c r="C7" s="44" t="inlineStr">
        <is>
          <t>Web account shell</t>
        </is>
      </c>
    </row>
    <row r="8" ht="20" customHeight="1">
      <c r="A8" s="38" t="inlineStr">
        <is>
          <t>Week 2</t>
        </is>
      </c>
      <c r="B8" s="21" t="inlineStr">
        <is>
          <t>Frontend</t>
        </is>
      </c>
      <c r="C8" s="44" t="inlineStr">
        <is>
          <t>Customer bookings list UI</t>
        </is>
      </c>
    </row>
    <row r="9" ht="20" customHeight="1">
      <c r="A9" s="38" t="inlineStr">
        <is>
          <t>Week 3</t>
        </is>
      </c>
      <c r="B9" s="21" t="inlineStr">
        <is>
          <t>Frontend</t>
        </is>
      </c>
      <c r="C9" s="44" t="inlineStr">
        <is>
          <t>Tracking page after confirm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Search  ·  catalog  ·  5 backend / 2 frontend  ·  2/7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Week 1</t>
        </is>
      </c>
      <c r="B6" s="20" t="inlineStr">
        <is>
          <t>Backend</t>
        </is>
      </c>
      <c r="C6" s="44" t="inlineStr">
        <is>
          <t>CarModel CRUD APIs</t>
        </is>
      </c>
      <c r="J6" s="42" t="inlineStr">
        <is>
          <t>Week 1</t>
        </is>
      </c>
      <c r="K6" s="20" t="inlineStr">
        <is>
          <t>Backend</t>
        </is>
      </c>
      <c r="L6" s="46" t="inlineStr">
        <is>
          <t>Search / catalog API spec</t>
        </is>
      </c>
    </row>
    <row r="7" ht="20" customHeight="1">
      <c r="A7" s="38" t="inlineStr">
        <is>
          <t>Week 2</t>
        </is>
      </c>
      <c r="B7" s="20" t="inlineStr">
        <is>
          <t>Backend</t>
        </is>
      </c>
      <c r="C7" s="44" t="inlineStr">
        <is>
          <t>Availability engine + buffer hours</t>
        </is>
      </c>
      <c r="J7" s="42" t="inlineStr">
        <is>
          <t>Week 1</t>
        </is>
      </c>
      <c r="K7" s="20" t="inlineStr">
        <is>
          <t>Backend</t>
        </is>
      </c>
      <c r="L7" s="46" t="inlineStr">
        <is>
          <t>Catalog Nest stub</t>
        </is>
      </c>
    </row>
    <row r="8" ht="20" customHeight="1">
      <c r="A8" s="38" t="inlineStr">
        <is>
          <t>Week 2</t>
        </is>
      </c>
      <c r="B8" s="20" t="inlineStr">
        <is>
          <t>Backend</t>
        </is>
      </c>
      <c r="C8" s="44" t="inlineStr">
        <is>
          <t>Maintenance block stub on calendar</t>
        </is>
      </c>
    </row>
    <row r="9" ht="20" customHeight="1">
      <c r="A9" s="38" t="inlineStr">
        <is>
          <t>Week 1</t>
        </is>
      </c>
      <c r="B9" s="21" t="inlineStr">
        <is>
          <t>Frontend</t>
        </is>
      </c>
      <c r="C9" s="44" t="inlineStr">
        <is>
          <t>Public car list + search UI</t>
        </is>
      </c>
    </row>
    <row r="10" ht="20" customHeight="1">
      <c r="A10" s="38" t="inlineStr">
        <is>
          <t>Week 2</t>
        </is>
      </c>
      <c r="B10" s="21" t="inlineStr">
        <is>
          <t>Frontend</t>
        </is>
      </c>
      <c r="C10" s="44" t="inlineStr">
        <is>
          <t>Availability calendar on car page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Booking  ·  booking  ·  6 backend / 3 frontend  ·  2/9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Week 2</t>
        </is>
      </c>
      <c r="B6" s="20" t="inlineStr">
        <is>
          <t>Backend</t>
        </is>
      </c>
      <c r="C6" s="44" t="inlineStr">
        <is>
          <t>Quote freeze + HOLD (15 min) API</t>
        </is>
      </c>
      <c r="J6" s="42" t="inlineStr">
        <is>
          <t>Week 2</t>
        </is>
      </c>
      <c r="K6" s="20" t="inlineStr">
        <is>
          <t>Backend</t>
        </is>
      </c>
      <c r="L6" s="46" t="inlineStr">
        <is>
          <t>Booking API spec</t>
        </is>
      </c>
    </row>
    <row r="7" ht="20" customHeight="1">
      <c r="A7" s="38" t="inlineStr">
        <is>
          <t>Week 3</t>
        </is>
      </c>
      <c r="B7" s="20" t="inlineStr">
        <is>
          <t>Backend</t>
        </is>
      </c>
      <c r="C7" s="44" t="inlineStr">
        <is>
          <t>Status machine through CONFIRMED</t>
        </is>
      </c>
      <c r="J7" s="42" t="inlineStr">
        <is>
          <t>Week 2</t>
        </is>
      </c>
      <c r="K7" s="20" t="inlineStr">
        <is>
          <t>Backend</t>
        </is>
      </c>
      <c r="L7" s="46" t="inlineStr">
        <is>
          <t>Booking Nest stub</t>
        </is>
      </c>
    </row>
    <row r="8" ht="20" customHeight="1">
      <c r="A8" s="38" t="inlineStr">
        <is>
          <t>Week 2</t>
        </is>
      </c>
      <c r="B8" s="20" t="inlineStr">
        <is>
          <t>Backend</t>
        </is>
      </c>
      <c r="C8" s="44" t="inlineStr">
        <is>
          <t>Admin bookings list API + filters</t>
        </is>
      </c>
    </row>
    <row r="9" ht="20" customHeight="1">
      <c r="A9" s="38" t="inlineStr">
        <is>
          <t>Week 4</t>
        </is>
      </c>
      <c r="B9" s="20" t="inlineStr">
        <is>
          <t>Backend</t>
        </is>
      </c>
      <c r="C9" s="44" t="inlineStr">
        <is>
          <t>Assign vehicle/driver API</t>
        </is>
      </c>
    </row>
    <row r="10" ht="20" customHeight="1">
      <c r="A10" s="38" t="inlineStr">
        <is>
          <t>Week 2</t>
        </is>
      </c>
      <c r="B10" s="21" t="inlineStr">
        <is>
          <t>Frontend</t>
        </is>
      </c>
      <c r="C10" s="44" t="inlineStr">
        <is>
          <t>Web checkout: quote → hold → pay</t>
        </is>
      </c>
    </row>
    <row r="11" ht="20" customHeight="1">
      <c r="A11" s="38" t="inlineStr">
        <is>
          <t>Week 2</t>
        </is>
      </c>
      <c r="B11" s="21" t="inlineStr">
        <is>
          <t>Frontend</t>
        </is>
      </c>
      <c r="C11" s="44" t="inlineStr">
        <is>
          <t>Admin bookings list screens</t>
        </is>
      </c>
    </row>
    <row r="12" ht="20" customHeight="1">
      <c r="A12" s="38" t="inlineStr">
        <is>
          <t>Week 4</t>
        </is>
      </c>
      <c r="B12" s="21" t="inlineStr">
        <is>
          <t>Frontend</t>
        </is>
      </c>
      <c r="C12" s="44" t="inlineStr">
        <is>
          <t>Admin assign vehicle/driver UI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Payments  ·  payment  ·  5 backend / 1 frontend  ·  2/6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Week 2</t>
        </is>
      </c>
      <c r="B6" s="20" t="inlineStr">
        <is>
          <t>Backend</t>
        </is>
      </c>
      <c r="C6" s="44" t="inlineStr">
        <is>
          <t>Razorpay order + webhook (idempotent)</t>
        </is>
      </c>
      <c r="J6" s="42" t="inlineStr">
        <is>
          <t>Week 2</t>
        </is>
      </c>
      <c r="K6" s="20" t="inlineStr">
        <is>
          <t>Backend</t>
        </is>
      </c>
      <c r="L6" s="46" t="inlineStr">
        <is>
          <t>Payments API spec</t>
        </is>
      </c>
    </row>
    <row r="7" ht="20" customHeight="1">
      <c r="A7" s="38" t="inlineStr">
        <is>
          <t>Week 2</t>
        </is>
      </c>
      <c r="B7" s="20" t="inlineStr">
        <is>
          <t>Backend</t>
        </is>
      </c>
      <c r="C7" s="44" t="inlineStr">
        <is>
          <t>Token invoice + verify APIs</t>
        </is>
      </c>
      <c r="J7" s="42" t="inlineStr">
        <is>
          <t>Week 2</t>
        </is>
      </c>
      <c r="K7" s="20" t="inlineStr">
        <is>
          <t>Backend</t>
        </is>
      </c>
      <c r="L7" s="46" t="inlineStr">
        <is>
          <t>Payment Nest stub</t>
        </is>
      </c>
    </row>
    <row r="8" ht="20" customHeight="1">
      <c r="A8" s="38" t="inlineStr">
        <is>
          <t>Week 4</t>
        </is>
      </c>
      <c r="B8" s="20" t="inlineStr">
        <is>
          <t>Backend</t>
        </is>
      </c>
      <c r="C8" s="44" t="inlineStr">
        <is>
          <t>Refund path for cancel before handover</t>
        </is>
      </c>
    </row>
    <row r="9" ht="20" customHeight="1">
      <c r="A9" s="38" t="inlineStr">
        <is>
          <t>Week 2</t>
        </is>
      </c>
      <c r="B9" s="21" t="inlineStr">
        <is>
          <t>Frontend</t>
        </is>
      </c>
      <c r="C9" s="44" t="inlineStr">
        <is>
          <t>Checkout pay + success poll UI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Subscription  ·  booking  ·  3 backend / 1 frontend  ·  1/4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Later</t>
        </is>
      </c>
      <c r="B6" s="20" t="inlineStr">
        <is>
          <t>Backend</t>
        </is>
      </c>
      <c r="C6" s="44" t="inlineStr">
        <is>
          <t>Plans + tenure booking APIs</t>
        </is>
      </c>
      <c r="J6" s="42" t="inlineStr">
        <is>
          <t>Later</t>
        </is>
      </c>
      <c r="K6" s="20" t="inlineStr">
        <is>
          <t>Backend</t>
        </is>
      </c>
      <c r="L6" s="46" t="inlineStr">
        <is>
          <t>Subscription API spec</t>
        </is>
      </c>
    </row>
    <row r="7" ht="20" customHeight="1">
      <c r="A7" s="38" t="inlineStr">
        <is>
          <t>Later</t>
        </is>
      </c>
      <c r="B7" s="20" t="inlineStr">
        <is>
          <t>Backend</t>
        </is>
      </c>
      <c r="C7" s="44" t="inlineStr">
        <is>
          <t>Swap / early close policy APIs</t>
        </is>
      </c>
    </row>
    <row r="8" ht="20" customHeight="1">
      <c r="A8" s="38" t="inlineStr">
        <is>
          <t>Later</t>
        </is>
      </c>
      <c r="B8" s="21" t="inlineStr">
        <is>
          <t>Frontend</t>
        </is>
      </c>
      <c r="C8" s="44" t="inlineStr">
        <is>
          <t>Subscription plans + checkout UI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Airport  ·  booking  ·  3 backend / 1 frontend  ·  1/4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Week 4</t>
        </is>
      </c>
      <c r="B6" s="20" t="inlineStr">
        <is>
          <t>Backend</t>
        </is>
      </c>
      <c r="C6" s="44" t="inlineStr">
        <is>
          <t>Airport / one-way rate table APIs</t>
        </is>
      </c>
      <c r="J6" s="42" t="inlineStr">
        <is>
          <t>Week 4</t>
        </is>
      </c>
      <c r="K6" s="20" t="inlineStr">
        <is>
          <t>Backend</t>
        </is>
      </c>
      <c r="L6" s="46" t="inlineStr">
        <is>
          <t>Airport / outstation API spec</t>
        </is>
      </c>
    </row>
    <row r="7" ht="20" customHeight="1">
      <c r="A7" s="38" t="inlineStr">
        <is>
          <t>Later</t>
        </is>
      </c>
      <c r="B7" s="20" t="inlineStr">
        <is>
          <t>Backend</t>
        </is>
      </c>
      <c r="C7" s="44" t="inlineStr">
        <is>
          <t>Tour package APIs</t>
        </is>
      </c>
    </row>
    <row r="8" ht="20" customHeight="1">
      <c r="A8" s="38" t="inlineStr">
        <is>
          <t>Week 4</t>
        </is>
      </c>
      <c r="B8" s="21" t="inlineStr">
        <is>
          <t>Frontend</t>
        </is>
      </c>
      <c r="C8" s="44" t="inlineStr">
        <is>
          <t>Airport / one-way search options UI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KYC  ·  document  ·  4 backend / 2 frontend  ·  2/6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Week 3</t>
        </is>
      </c>
      <c r="B6" s="20" t="inlineStr">
        <is>
          <t>Backend</t>
        </is>
      </c>
      <c r="C6" s="44" t="inlineStr">
        <is>
          <t>Upload + admin approve/reject APIs</t>
        </is>
      </c>
      <c r="J6" s="42" t="inlineStr">
        <is>
          <t>Week 3</t>
        </is>
      </c>
      <c r="K6" s="20" t="inlineStr">
        <is>
          <t>Backend</t>
        </is>
      </c>
      <c r="L6" s="46" t="inlineStr">
        <is>
          <t>KYC API spec</t>
        </is>
      </c>
    </row>
    <row r="7" ht="20" customHeight="1">
      <c r="A7" s="38" t="inlineStr">
        <is>
          <t>Week 3</t>
        </is>
      </c>
      <c r="B7" s="20" t="inlineStr">
        <is>
          <t>Backend</t>
        </is>
      </c>
      <c r="C7" s="44" t="inlineStr">
        <is>
          <t>Gate booking on AWAITING_KYC</t>
        </is>
      </c>
      <c r="J7" s="42" t="inlineStr">
        <is>
          <t>Week 3</t>
        </is>
      </c>
      <c r="K7" s="20" t="inlineStr">
        <is>
          <t>Backend</t>
        </is>
      </c>
      <c r="L7" s="46" t="inlineStr">
        <is>
          <t>Document Nest stub</t>
        </is>
      </c>
    </row>
    <row r="8" ht="20" customHeight="1">
      <c r="A8" s="38" t="inlineStr">
        <is>
          <t>Week 3</t>
        </is>
      </c>
      <c r="B8" s="21" t="inlineStr">
        <is>
          <t>Frontend</t>
        </is>
      </c>
      <c r="C8" s="44" t="inlineStr">
        <is>
          <t>Customer KYC upload UI</t>
        </is>
      </c>
    </row>
    <row r="9" ht="20" customHeight="1">
      <c r="A9" s="38" t="inlineStr">
        <is>
          <t>Week 3</t>
        </is>
      </c>
      <c r="B9" s="21" t="inlineStr">
        <is>
          <t>Frontend</t>
        </is>
      </c>
      <c r="C9" s="44" t="inlineStr">
        <is>
          <t>Admin KYC review screens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E-sign  ·  document  ·  4 backend / 1 frontend  ·  1/5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Week 3</t>
        </is>
      </c>
      <c r="B6" s="20" t="inlineStr">
        <is>
          <t>Backend</t>
        </is>
      </c>
      <c r="C6" s="44" t="inlineStr">
        <is>
          <t>Agreement PDF from booking snapshot</t>
        </is>
      </c>
      <c r="J6" s="42" t="inlineStr">
        <is>
          <t>Week 3</t>
        </is>
      </c>
      <c r="K6" s="20" t="inlineStr">
        <is>
          <t>Backend</t>
        </is>
      </c>
      <c r="L6" s="46" t="inlineStr">
        <is>
          <t>E-sign API spec</t>
        </is>
      </c>
    </row>
    <row r="7" ht="20" customHeight="1">
      <c r="A7" s="38" t="inlineStr">
        <is>
          <t>Week 3</t>
        </is>
      </c>
      <c r="B7" s="20" t="inlineStr">
        <is>
          <t>Backend</t>
        </is>
      </c>
      <c r="C7" s="44" t="inlineStr">
        <is>
          <t>Leegality send + webhook</t>
        </is>
      </c>
    </row>
    <row r="8" ht="20" customHeight="1">
      <c r="A8" s="38" t="inlineStr">
        <is>
          <t>Week 3</t>
        </is>
      </c>
      <c r="B8" s="20" t="inlineStr">
        <is>
          <t>Backend</t>
        </is>
      </c>
      <c r="C8" s="44" t="inlineStr">
        <is>
          <t>Advance to CONFIRMED after sign</t>
        </is>
      </c>
    </row>
    <row r="9" ht="20" customHeight="1">
      <c r="A9" s="38" t="inlineStr">
        <is>
          <t>Week 3</t>
        </is>
      </c>
      <c r="B9" s="21" t="inlineStr">
        <is>
          <t>Frontend</t>
        </is>
      </c>
      <c r="C9" s="44" t="inlineStr">
        <is>
          <t>Customer sign / status page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Fleet  ·  fleet  ·  4 backend / 1 frontend  ·  2/5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Week 1</t>
        </is>
      </c>
      <c r="B6" s="20" t="inlineStr">
        <is>
          <t>Backend</t>
        </is>
      </c>
      <c r="C6" s="44" t="inlineStr">
        <is>
          <t>City, Branch, Vehicle APIs</t>
        </is>
      </c>
      <c r="J6" s="42" t="inlineStr">
        <is>
          <t>Week 1</t>
        </is>
      </c>
      <c r="K6" s="20" t="inlineStr">
        <is>
          <t>Backend</t>
        </is>
      </c>
      <c r="L6" s="46" t="inlineStr">
        <is>
          <t>Fleet API spec</t>
        </is>
      </c>
    </row>
    <row r="7" ht="20" customHeight="1">
      <c r="A7" s="38" t="inlineStr">
        <is>
          <t>Week 4</t>
        </is>
      </c>
      <c r="B7" s="20" t="inlineStr">
        <is>
          <t>Backend</t>
        </is>
      </c>
      <c r="C7" s="44" t="inlineStr">
        <is>
          <t>Assign vehicle to confirmed booking API</t>
        </is>
      </c>
      <c r="J7" s="42" t="inlineStr">
        <is>
          <t>Week 1</t>
        </is>
      </c>
      <c r="K7" s="20" t="inlineStr">
        <is>
          <t>Backend</t>
        </is>
      </c>
      <c r="L7" s="46" t="inlineStr">
        <is>
          <t>Fleet Nest stub</t>
        </is>
      </c>
    </row>
    <row r="8" ht="20" customHeight="1">
      <c r="A8" s="38" t="inlineStr">
        <is>
          <t>Week 1</t>
        </is>
      </c>
      <c r="B8" s="21" t="inlineStr">
        <is>
          <t>Frontend</t>
        </is>
      </c>
      <c r="C8" s="44" t="inlineStr">
        <is>
          <t>Admin cars + vehicles CRUD screens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Workshop  ·  fleet  ·  3 backend / 1 frontend  ·  1/4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Later</t>
        </is>
      </c>
      <c r="B6" s="20" t="inlineStr">
        <is>
          <t>Backend</t>
        </is>
      </c>
      <c r="C6" s="44" t="inlineStr">
        <is>
          <t>Jobs + workshop calendar APIs</t>
        </is>
      </c>
      <c r="J6" s="42" t="inlineStr">
        <is>
          <t>Later</t>
        </is>
      </c>
      <c r="K6" s="20" t="inlineStr">
        <is>
          <t>Backend</t>
        </is>
      </c>
      <c r="L6" s="46" t="inlineStr">
        <is>
          <t>Workshop API spec</t>
        </is>
      </c>
    </row>
    <row r="7" ht="20" customHeight="1">
      <c r="A7" s="38" t="inlineStr">
        <is>
          <t>Later</t>
        </is>
      </c>
      <c r="B7" s="20" t="inlineStr">
        <is>
          <t>Backend</t>
        </is>
      </c>
      <c r="C7" s="44" t="inlineStr">
        <is>
          <t>Write AvailabilityBlock on schedule</t>
        </is>
      </c>
    </row>
    <row r="8" ht="20" customHeight="1">
      <c r="A8" s="38" t="inlineStr">
        <is>
          <t>Later</t>
        </is>
      </c>
      <c r="B8" s="21" t="inlineStr">
        <is>
          <t>Frontend</t>
        </is>
      </c>
      <c r="C8" s="44" t="inlineStr">
        <is>
          <t>Admin workshop screens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Handover  ·  fleet  ·  3 backend / 1 frontend  ·  1/4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Week 4</t>
        </is>
      </c>
      <c r="B6" s="20" t="inlineStr">
        <is>
          <t>Backend</t>
        </is>
      </c>
      <c r="C6" s="44" t="inlineStr">
        <is>
          <t>Handover API: odometer + photos</t>
        </is>
      </c>
      <c r="J6" s="42" t="inlineStr">
        <is>
          <t>Week 4</t>
        </is>
      </c>
      <c r="K6" s="20" t="inlineStr">
        <is>
          <t>Backend</t>
        </is>
      </c>
      <c r="L6" s="46" t="inlineStr">
        <is>
          <t>Handover API spec</t>
        </is>
      </c>
    </row>
    <row r="7" ht="20" customHeight="1">
      <c r="A7" s="38" t="inlineStr">
        <is>
          <t>Week 4</t>
        </is>
      </c>
      <c r="B7" s="20" t="inlineStr">
        <is>
          <t>Backend</t>
        </is>
      </c>
      <c r="C7" s="44" t="inlineStr">
        <is>
          <t>Return + close booking API</t>
        </is>
      </c>
    </row>
    <row r="8" ht="20" customHeight="1">
      <c r="A8" s="38" t="inlineStr">
        <is>
          <t>Week 4</t>
        </is>
      </c>
      <c r="B8" s="21" t="inlineStr">
        <is>
          <t>Frontend</t>
        </is>
      </c>
      <c r="C8" s="44" t="inlineStr">
        <is>
          <t>Admin handover / return screens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Drivers  ·  fleet  ·  2 backend / 1 frontend  ·  1/3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Week 4</t>
        </is>
      </c>
      <c r="B6" s="20" t="inlineStr">
        <is>
          <t>Backend</t>
        </is>
      </c>
      <c r="C6" s="44" t="inlineStr">
        <is>
          <t>Driver roster + assign APIs</t>
        </is>
      </c>
      <c r="J6" s="42" t="inlineStr">
        <is>
          <t>Week 4</t>
        </is>
      </c>
      <c r="K6" s="20" t="inlineStr">
        <is>
          <t>Backend</t>
        </is>
      </c>
      <c r="L6" s="46" t="inlineStr">
        <is>
          <t>Drivers API spec</t>
        </is>
      </c>
    </row>
    <row r="7" ht="20" customHeight="1">
      <c r="A7" s="38" t="inlineStr">
        <is>
          <t>Week 4</t>
        </is>
      </c>
      <c r="B7" s="21" t="inlineStr">
        <is>
          <t>Frontend</t>
        </is>
      </c>
      <c r="C7" s="44" t="inlineStr">
        <is>
          <t>Admin driver roster screens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Partners  ·  partner  ·  3 backend / 1 frontend  ·  1/4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Later</t>
        </is>
      </c>
      <c r="B6" s="20" t="inlineStr">
        <is>
          <t>Backend</t>
        </is>
      </c>
      <c r="C6" s="44" t="inlineStr">
        <is>
          <t>Partner cars + commission ledger APIs</t>
        </is>
      </c>
      <c r="J6" s="42" t="inlineStr">
        <is>
          <t>Later</t>
        </is>
      </c>
      <c r="K6" s="20" t="inlineStr">
        <is>
          <t>Backend</t>
        </is>
      </c>
      <c r="L6" s="46" t="inlineStr">
        <is>
          <t>Partners API spec</t>
        </is>
      </c>
    </row>
    <row r="7" ht="20" customHeight="1">
      <c r="A7" s="38" t="inlineStr">
        <is>
          <t>Later</t>
        </is>
      </c>
      <c r="B7" s="20" t="inlineStr">
        <is>
          <t>Backend</t>
        </is>
      </c>
      <c r="C7" s="44" t="inlineStr">
        <is>
          <t>Settlements APIs (no partner portal)</t>
        </is>
      </c>
    </row>
    <row r="8" ht="20" customHeight="1">
      <c r="A8" s="38" t="inlineStr">
        <is>
          <t>Later</t>
        </is>
      </c>
      <c r="B8" s="21" t="inlineStr">
        <is>
          <t>Frontend</t>
        </is>
      </c>
      <c r="C8" s="44" t="inlineStr">
        <is>
          <t>Admin partner + settlement screens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Admin  ·  platform, fleet  ·  3 backend / 4 frontend  ·  1/7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Week 4</t>
        </is>
      </c>
      <c r="B6" s="20" t="inlineStr">
        <is>
          <t>Backend</t>
        </is>
      </c>
      <c r="C6" s="44" t="inlineStr">
        <is>
          <t>Dashboard KPI APIs</t>
        </is>
      </c>
      <c r="J6" s="42" t="inlineStr">
        <is>
          <t>Week 1</t>
        </is>
      </c>
      <c r="K6" s="20" t="inlineStr">
        <is>
          <t>Backend</t>
        </is>
      </c>
      <c r="L6" s="46" t="inlineStr">
        <is>
          <t>Admin / multi-city spec</t>
        </is>
      </c>
    </row>
    <row r="7" ht="20" customHeight="1">
      <c r="A7" s="38" t="inlineStr">
        <is>
          <t>Week 4</t>
        </is>
      </c>
      <c r="B7" s="20" t="inlineStr">
        <is>
          <t>Backend</t>
        </is>
      </c>
      <c r="C7" s="44" t="inlineStr">
        <is>
          <t>City / branch scoped RBAC on APIs</t>
        </is>
      </c>
    </row>
    <row r="8" ht="20" customHeight="1">
      <c r="A8" s="38" t="inlineStr">
        <is>
          <t>Week 1</t>
        </is>
      </c>
      <c r="B8" s="21" t="inlineStr">
        <is>
          <t>Frontend</t>
        </is>
      </c>
      <c r="C8" s="44" t="inlineStr">
        <is>
          <t>Admin app shell + nav</t>
        </is>
      </c>
    </row>
    <row r="9" ht="20" customHeight="1">
      <c r="A9" s="38" t="inlineStr">
        <is>
          <t>Week 1</t>
        </is>
      </c>
      <c r="B9" s="21" t="inlineStr">
        <is>
          <t>Frontend</t>
        </is>
      </c>
      <c r="C9" s="44" t="inlineStr">
        <is>
          <t>Staff, cars, vehicles screens</t>
        </is>
      </c>
    </row>
    <row r="10" ht="20" customHeight="1">
      <c r="A10" s="38" t="inlineStr">
        <is>
          <t>Week 4</t>
        </is>
      </c>
      <c r="B10" s="21" t="inlineStr">
        <is>
          <t>Frontend</t>
        </is>
      </c>
      <c r="C10" s="44" t="inlineStr">
        <is>
          <t>Dashboard KPI screens</t>
        </is>
      </c>
    </row>
    <row r="11" ht="20" customHeight="1">
      <c r="A11" s="38" t="inlineStr">
        <is>
          <t>Week 4</t>
        </is>
      </c>
      <c r="B11" s="21" t="inlineStr">
        <is>
          <t>Frontend</t>
        </is>
      </c>
      <c r="C11" s="44" t="inlineStr">
        <is>
          <t>City / branch scoped nav + filters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Finance  ·  platform  ·  2 backend / 1 frontend  ·  1/3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Later</t>
        </is>
      </c>
      <c r="B6" s="20" t="inlineStr">
        <is>
          <t>Backend</t>
        </is>
      </c>
      <c r="C6" s="44" t="inlineStr">
        <is>
          <t>Revenue / deposits / GST report APIs</t>
        </is>
      </c>
      <c r="J6" s="42" t="inlineStr">
        <is>
          <t>Later</t>
        </is>
      </c>
      <c r="K6" s="20" t="inlineStr">
        <is>
          <t>Backend</t>
        </is>
      </c>
      <c r="L6" s="46" t="inlineStr">
        <is>
          <t>Finance API spec</t>
        </is>
      </c>
    </row>
    <row r="7" ht="20" customHeight="1">
      <c r="A7" s="38" t="inlineStr">
        <is>
          <t>Later</t>
        </is>
      </c>
      <c r="B7" s="21" t="inlineStr">
        <is>
          <t>Frontend</t>
        </is>
      </c>
      <c r="C7" s="44" t="inlineStr">
        <is>
          <t>Admin finance report screens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Offers  ·  platform  ·  3 backend / 2 frontend  ·  1/5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Week 2</t>
        </is>
      </c>
      <c r="B6" s="20" t="inlineStr">
        <is>
          <t>Backend</t>
        </is>
      </c>
      <c r="C6" s="44" t="inlineStr">
        <is>
          <t>Flat / percent offer code APIs</t>
        </is>
      </c>
      <c r="J6" s="42" t="inlineStr">
        <is>
          <t>Week 2</t>
        </is>
      </c>
      <c r="K6" s="20" t="inlineStr">
        <is>
          <t>Backend</t>
        </is>
      </c>
      <c r="L6" s="46" t="inlineStr">
        <is>
          <t>Offers API spec</t>
        </is>
      </c>
    </row>
    <row r="7" ht="20" customHeight="1">
      <c r="A7" s="38" t="inlineStr">
        <is>
          <t>Later</t>
        </is>
      </c>
      <c r="B7" s="20" t="inlineStr">
        <is>
          <t>Backend</t>
        </is>
      </c>
      <c r="C7" s="44" t="inlineStr">
        <is>
          <t>Wallet + loyalty APIs</t>
        </is>
      </c>
    </row>
    <row r="8" ht="20" customHeight="1">
      <c r="A8" s="38" t="inlineStr">
        <is>
          <t>Week 2</t>
        </is>
      </c>
      <c r="B8" s="21" t="inlineStr">
        <is>
          <t>Frontend</t>
        </is>
      </c>
      <c r="C8" s="44" t="inlineStr">
        <is>
          <t>Checkout apply offer code UI</t>
        </is>
      </c>
    </row>
    <row r="9" ht="20" customHeight="1">
      <c r="A9" s="38" t="inlineStr">
        <is>
          <t>Week 2</t>
        </is>
      </c>
      <c r="B9" s="21" t="inlineStr">
        <is>
          <t>Frontend</t>
        </is>
      </c>
      <c r="C9" s="44" t="inlineStr">
        <is>
          <t>Admin offers screens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Reviews  ·  platform  ·  2 backend / 1 frontend  ·  1/3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Later</t>
        </is>
      </c>
      <c r="B6" s="20" t="inlineStr">
        <is>
          <t>Backend</t>
        </is>
      </c>
      <c r="C6" s="44" t="inlineStr">
        <is>
          <t>Review invite + ticket APIs</t>
        </is>
      </c>
      <c r="J6" s="42" t="inlineStr">
        <is>
          <t>Later</t>
        </is>
      </c>
      <c r="K6" s="20" t="inlineStr">
        <is>
          <t>Backend</t>
        </is>
      </c>
      <c r="L6" s="46" t="inlineStr">
        <is>
          <t>Reviews API spec</t>
        </is>
      </c>
    </row>
    <row r="7" ht="20" customHeight="1">
      <c r="A7" s="38" t="inlineStr">
        <is>
          <t>Later</t>
        </is>
      </c>
      <c r="B7" s="21" t="inlineStr">
        <is>
          <t>Frontend</t>
        </is>
      </c>
      <c r="C7" s="44" t="inlineStr">
        <is>
          <t>Post-trip review + support UI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Notify  ·  notification  ·  4 backend / 0 frontend  ·  2/4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Week 1</t>
        </is>
      </c>
      <c r="B6" s="20" t="inlineStr">
        <is>
          <t>Backend</t>
        </is>
      </c>
      <c r="C6" s="44" t="inlineStr">
        <is>
          <t>OTP email (port Gmail OAuth)</t>
        </is>
      </c>
      <c r="J6" s="42" t="inlineStr">
        <is>
          <t>Week 1</t>
        </is>
      </c>
      <c r="K6" s="20" t="inlineStr">
        <is>
          <t>Backend</t>
        </is>
      </c>
      <c r="L6" s="46" t="inlineStr">
        <is>
          <t>Notifications API spec</t>
        </is>
      </c>
    </row>
    <row r="7" ht="20" customHeight="1">
      <c r="A7" s="38" t="inlineStr">
        <is>
          <t>Week 3</t>
        </is>
      </c>
      <c r="B7" s="20" t="inlineStr">
        <is>
          <t>Backend</t>
        </is>
      </c>
      <c r="C7" s="44" t="inlineStr">
        <is>
          <t>Booking confirmation HTML email</t>
        </is>
      </c>
      <c r="J7" s="42" t="inlineStr">
        <is>
          <t>Week 1</t>
        </is>
      </c>
      <c r="K7" s="20" t="inlineStr">
        <is>
          <t>Backend</t>
        </is>
      </c>
      <c r="L7" s="46" t="inlineStr">
        <is>
          <t>Notification Nest stub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CRM  ·  platform  ·  3 backend / 1 frontend  ·  1/4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Week 3</t>
        </is>
      </c>
      <c r="B6" s="20" t="inlineStr">
        <is>
          <t>Backend</t>
        </is>
      </c>
      <c r="C6" s="44" t="inlineStr">
        <is>
          <t>Zoho form webhook → lead</t>
        </is>
      </c>
      <c r="J6" s="42" t="inlineStr">
        <is>
          <t>Week 3</t>
        </is>
      </c>
      <c r="K6" s="20" t="inlineStr">
        <is>
          <t>Backend</t>
        </is>
      </c>
      <c r="L6" s="46" t="inlineStr">
        <is>
          <t>CRM API spec</t>
        </is>
      </c>
    </row>
    <row r="7" ht="20" customHeight="1">
      <c r="A7" s="38" t="inlineStr">
        <is>
          <t>Week 4</t>
        </is>
      </c>
      <c r="B7" s="20" t="inlineStr">
        <is>
          <t>Backend</t>
        </is>
      </c>
      <c r="C7" s="44" t="inlineStr">
        <is>
          <t>Contact form → CRM lead API</t>
        </is>
      </c>
    </row>
    <row r="8" ht="20" customHeight="1">
      <c r="A8" s="38" t="inlineStr">
        <is>
          <t>Week 4</t>
        </is>
      </c>
      <c r="B8" s="21" t="inlineStr">
        <is>
          <t>Frontend</t>
        </is>
      </c>
      <c r="C8" s="44" t="inlineStr">
        <is>
          <t>Admin leads list screens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tabColor rgb="00AED6F1"/>
    <outlinePr summaryBelow="1" summaryRight="1"/>
    <pageSetUpPr fitToPage="1"/>
  </sheetPr>
  <dimension ref="A1:L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36" customWidth="1" min="6" max="6"/>
    <col width="10" customWidth="1" min="7" max="7"/>
    <col width="12" customWidth="1" min="8" max="8"/>
    <col width="36" customWidth="1" min="9" max="9"/>
    <col width="10" customWidth="1" min="10" max="10"/>
    <col width="12" customWidth="1" min="11" max="11"/>
    <col width="36" customWidth="1" min="12" max="12"/>
  </cols>
  <sheetData>
    <row r="1" ht="26" customHeight="1">
      <c r="A1" s="1" t="inlineStr">
        <is>
          <t>Mobile  ·  apps/mobile  ·  0 backend / 2 frontend  ·  1/2 done</t>
        </is>
      </c>
    </row>
    <row r="2">
      <c r="A2" s="2" t="inlineStr">
        <is>
          <t>Each card is Backend (API/service) or Frontend (web/admin/mobile).</t>
        </is>
      </c>
    </row>
    <row r="4">
      <c r="A4" s="31" t="inlineStr">
        <is>
          <t>Not started</t>
        </is>
      </c>
      <c r="B4" s="32" t="n"/>
      <c r="C4" s="32" t="n"/>
      <c r="D4" s="24" t="inlineStr">
        <is>
          <t>In progress</t>
        </is>
      </c>
      <c r="E4" s="33" t="n"/>
      <c r="F4" s="33" t="n"/>
      <c r="G4" s="34" t="inlineStr">
        <is>
          <t>Under review</t>
        </is>
      </c>
      <c r="H4" s="35" t="n"/>
      <c r="I4" s="35" t="n"/>
      <c r="J4" s="30" t="inlineStr">
        <is>
          <t>Completed</t>
        </is>
      </c>
      <c r="K4" s="36" t="n"/>
      <c r="L4" s="36" t="n"/>
    </row>
    <row r="5">
      <c r="A5" s="37" t="inlineStr">
        <is>
          <t>Week</t>
        </is>
      </c>
      <c r="B5" s="37" t="inlineStr">
        <is>
          <t>Layer</t>
        </is>
      </c>
      <c r="C5" s="37" t="inlineStr">
        <is>
          <t>Task</t>
        </is>
      </c>
      <c r="D5" s="37" t="inlineStr">
        <is>
          <t>Week</t>
        </is>
      </c>
      <c r="E5" s="37" t="inlineStr">
        <is>
          <t>Layer</t>
        </is>
      </c>
      <c r="F5" s="37" t="inlineStr">
        <is>
          <t>Task</t>
        </is>
      </c>
      <c r="G5" s="37" t="inlineStr">
        <is>
          <t>Week</t>
        </is>
      </c>
      <c r="H5" s="37" t="inlineStr">
        <is>
          <t>Layer</t>
        </is>
      </c>
      <c r="I5" s="37" t="inlineStr">
        <is>
          <t>Task</t>
        </is>
      </c>
      <c r="J5" s="37" t="inlineStr">
        <is>
          <t>Week</t>
        </is>
      </c>
      <c r="K5" s="37" t="inlineStr">
        <is>
          <t>Layer</t>
        </is>
      </c>
      <c r="L5" s="37" t="inlineStr">
        <is>
          <t>Task</t>
        </is>
      </c>
    </row>
    <row r="6" ht="20" customHeight="1">
      <c r="A6" s="38" t="inlineStr">
        <is>
          <t>Later</t>
        </is>
      </c>
      <c r="B6" s="21" t="inlineStr">
        <is>
          <t>Frontend</t>
        </is>
      </c>
      <c r="C6" s="44" t="inlineStr">
        <is>
          <t>Expo app: search, book, track</t>
        </is>
      </c>
      <c r="J6" s="42" t="inlineStr">
        <is>
          <t>Later</t>
        </is>
      </c>
      <c r="K6" s="21" t="inlineStr">
        <is>
          <t>Frontend</t>
        </is>
      </c>
      <c r="L6" s="46" t="inlineStr">
        <is>
          <t>Mobile spec</t>
        </is>
      </c>
    </row>
  </sheetData>
  <mergeCells count="6">
    <mergeCell ref="A2:L2"/>
    <mergeCell ref="A1:L1"/>
    <mergeCell ref="D4:F4"/>
    <mergeCell ref="G4:I4"/>
    <mergeCell ref="J4:L4"/>
    <mergeCell ref="A4:C4"/>
  </mergeCells>
  <pageMargins left="0.75" right="0.75" top="1" bottom="1" header="0.5" footer="0.5"/>
  <pageSetup orientation="landscape" paperSize="9" fitToHeight="0" fitToWidth="1"/>
  <headerFooter>
    <oddHeader>&amp;LDreamDrive MS tracker</oddHeader>
    <oddFooter>&amp;LBackend / Frontend  ·  13 Aug 2026&amp;RPage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2026-08-13T15:35:38Z</dcterms:created>
  <dcterms:modified xsi:type="dcterms:W3CDTF">2026-08-13T15:35:38Z</dcterms:modified>
</cp:coreProperties>
</file>