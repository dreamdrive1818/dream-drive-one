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FE Web Account" sheetId="2" state="visible" r:id="rId2"/>
    <sheet name="FE Web Public" sheetId="3" state="visible" r:id="rId3"/>
    <sheet name="FE Admin" sheetId="4" state="visible" r:id="rId4"/>
    <sheet name="FE Mobile" sheetId="5" state="visible" r:id="rId5"/>
    <sheet name="00 Summary" sheetId="6" state="visible" r:id="rId6"/>
    <sheet name="01 Auth &amp; Security" sheetId="7" state="visible" r:id="rId7"/>
    <sheet name="02 Public CMS" sheetId="8" state="visible" r:id="rId8"/>
    <sheet name="03 Customer Dashboard" sheetId="9" state="visible" r:id="rId9"/>
    <sheet name="04 Search &amp; Availability" sheetId="10" state="visible" r:id="rId10"/>
    <sheet name="05 Booking Engine" sheetId="11" state="visible" r:id="rId11"/>
    <sheet name="06 Payments" sheetId="12" state="visible" r:id="rId12"/>
    <sheet name="07 Subscription" sheetId="13" state="visible" r:id="rId13"/>
    <sheet name="08 Airport &amp; Packages" sheetId="14" state="visible" r:id="rId14"/>
    <sheet name="09 KYC &amp; Documents" sheetId="15" state="visible" r:id="rId15"/>
    <sheet name="10 Agreement &amp; eSign" sheetId="16" state="visible" r:id="rId16"/>
    <sheet name="11 Fleet" sheetId="17" state="visible" r:id="rId17"/>
    <sheet name="12 Maintenance" sheetId="18" state="visible" r:id="rId18"/>
    <sheet name="13 Handover &amp; Return" sheetId="19" state="visible" r:id="rId19"/>
    <sheet name="14 Drivers" sheetId="20" state="visible" r:id="rId20"/>
    <sheet name="15 Partners" sheetId="21" state="visible" r:id="rId21"/>
    <sheet name="16 Admin &amp; Multi-city" sheetId="22" state="visible" r:id="rId22"/>
    <sheet name="17 Finance &amp; Reports" sheetId="23" state="visible" r:id="rId23"/>
    <sheet name="18 Offers &amp; Wallet" sheetId="24" state="visible" r:id="rId24"/>
    <sheet name="19 Reviews &amp; Support" sheetId="25" state="visible" r:id="rId25"/>
    <sheet name="20 Notifications" sheetId="26" state="visible" r:id="rId26"/>
    <sheet name="21 CRM &amp; Leads" sheetId="27" state="visible" r:id="rId27"/>
    <sheet name="22 Mobile" sheetId="28" state="visible" r:id="rId28"/>
  </sheets>
  <definedNames>
    <definedName name="_xlnm._FilterDatabase" localSheetId="1" hidden="1">'FE Web Account'!$A$4:$H$13</definedName>
    <definedName name="_xlnm._FilterDatabase" localSheetId="2" hidden="1">'FE Web Public'!$A$4:$H$18</definedName>
    <definedName name="_xlnm._FilterDatabase" localSheetId="3" hidden="1">'FE Admin'!$A$4:$H$26</definedName>
    <definedName name="_xlnm._FilterDatabase" localSheetId="4" hidden="1">'FE Mobile'!$A$4:$H$12</definedName>
    <definedName name="_xlnm._FilterDatabase" localSheetId="5" hidden="1">'00 Summary'!$A$4:$L$4</definedName>
    <definedName name="_xlnm._FilterDatabase" localSheetId="6" hidden="1">'01 Auth &amp; Security'!$A$4:$H$21</definedName>
    <definedName name="_xlnm._FilterDatabase" localSheetId="7" hidden="1">'02 Public CMS'!$A$4:$H$15</definedName>
    <definedName name="_xlnm._FilterDatabase" localSheetId="8" hidden="1">'03 Customer Dashboard'!$A$4:$H$12</definedName>
    <definedName name="_xlnm._FilterDatabase" localSheetId="9" hidden="1">'04 Search &amp; Availability'!$A$4:$H$14</definedName>
    <definedName name="_xlnm._FilterDatabase" localSheetId="10" hidden="1">'05 Booking Engine'!$A$4:$H$19</definedName>
    <definedName name="_xlnm._FilterDatabase" localSheetId="11" hidden="1">'06 Payments'!$A$4:$H$15</definedName>
    <definedName name="_xlnm._FilterDatabase" localSheetId="12" hidden="1">'07 Subscription'!$A$4:$H$9</definedName>
    <definedName name="_xlnm._FilterDatabase" localSheetId="13" hidden="1">'08 Airport &amp; Packages'!$A$4:$H$12</definedName>
    <definedName name="_xlnm._FilterDatabase" localSheetId="14" hidden="1">'09 KYC &amp; Documents'!$A$4:$H$13</definedName>
    <definedName name="_xlnm._FilterDatabase" localSheetId="15" hidden="1">'10 Agreement &amp; eSign'!$A$4:$H$11</definedName>
    <definedName name="_xlnm._FilterDatabase" localSheetId="16" hidden="1">'11 Fleet'!$A$4:$H$12</definedName>
    <definedName name="_xlnm._FilterDatabase" localSheetId="17" hidden="1">'12 Maintenance'!$A$4:$H$10</definedName>
    <definedName name="_xlnm._FilterDatabase" localSheetId="18" hidden="1">'13 Handover &amp; Return'!$A$4:$H$11</definedName>
    <definedName name="_xlnm._FilterDatabase" localSheetId="19" hidden="1">'14 Drivers'!$A$4:$H$9</definedName>
    <definedName name="_xlnm._FilterDatabase" localSheetId="20" hidden="1">'15 Partners'!$A$4:$H$11</definedName>
    <definedName name="_xlnm._FilterDatabase" localSheetId="21" hidden="1">'16 Admin &amp; Multi-city'!$A$4:$H$10</definedName>
    <definedName name="_xlnm._FilterDatabase" localSheetId="22" hidden="1">'17 Finance &amp; Reports'!$A$4:$H$10</definedName>
    <definedName name="_xlnm._FilterDatabase" localSheetId="23" hidden="1">'18 Offers &amp; Wallet'!$A$4:$H$9</definedName>
    <definedName name="_xlnm._FilterDatabase" localSheetId="24" hidden="1">'19 Reviews &amp; Support'!$A$4:$H$9</definedName>
    <definedName name="_xlnm._FilterDatabase" localSheetId="25" hidden="1">'20 Notifications'!$A$4:$H$12</definedName>
    <definedName name="_xlnm._FilterDatabase" localSheetId="26" hidden="1">'21 CRM &amp; Leads'!$A$4:$H$11</definedName>
    <definedName name="_xlnm._FilterDatabase" localSheetId="27" hidden="1">'22 Mobile'!$A$4:$H$10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4332"/>
      <sz val="18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9C5700"/>
      <sz val="10"/>
    </font>
    <font>
      <name val="Calibri"/>
      <b val="1"/>
      <color rgb="00C65911"/>
      <sz val="10"/>
    </font>
    <font>
      <name val="Calibri"/>
      <b val="1"/>
      <color rgb="009C0006"/>
      <sz val="10"/>
    </font>
    <font>
      <name val="Calibri"/>
      <color rgb="0040916C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8FAF9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D8E2DC"/>
      </left>
      <right style="thin">
        <color rgb="00D8E2DC"/>
      </right>
      <top style="thin">
        <color rgb="00D8E2DC"/>
      </top>
      <bottom style="thin">
        <color rgb="00D8E2D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9" fillId="0" borderId="1" pivotButton="0" quotePrefix="0" xfId="0"/>
    <xf numFmtId="0" fontId="5" fillId="4" borderId="1" applyAlignment="1" pivotButton="0" quotePrefix="0" xfId="0">
      <alignment horizontal="center"/>
    </xf>
    <xf numFmtId="9" fontId="9" fillId="0" borderId="1" pivotButton="0" quotePrefix="0" xfId="0"/>
    <xf numFmtId="0" fontId="9" fillId="7" borderId="1" pivotButton="0" quotePrefix="0" xfId="0"/>
    <xf numFmtId="9" fontId="9" fillId="7" borderId="1" pivotButton="0" quotePrefix="0" xfId="0"/>
    <xf numFmtId="0" fontId="6" fillId="5" borderId="1" applyAlignment="1" pivotButton="0" quotePrefix="0" xfId="0">
      <alignment horizontal="center"/>
    </xf>
    <xf numFmtId="0" fontId="2" fillId="8" borderId="0" pivotButton="0" quotePrefix="0" xfId="0"/>
    <xf numFmtId="9" fontId="2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Items by status</a:t>
            </a:r>
          </a:p>
        </rich>
      </tx>
    </title>
    <plotArea>
      <pieChart>
        <varyColors val="1"/>
        <ser>
          <idx val="0"/>
          <order val="0"/>
          <tx>
            <strRef>
              <f>'00 Summary'!B34</f>
            </strRef>
          </tx>
          <spPr>
            <a:ln>
              <a:prstDash val="solid"/>
            </a:ln>
          </spPr>
          <cat>
            <numRef>
              <f>'00 Summary'!$A$35:$A$38</f>
            </numRef>
          </cat>
          <val>
            <numRef>
              <f>'00 Summary'!$B$35:$B$38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Dream-Drive MS — functionality tracker</t>
        </is>
      </c>
    </row>
    <row r="2" ht="36" customHeight="1">
      <c r="A2" s="2" t="inlineStr">
        <is>
          <t>Greenfield rebuild at dream-drive-MS (NestJS API :4000 + Next.js web/admin + Expo). Live product still in client-main/backend. Snapshot date: 2026-08-31.</t>
        </is>
      </c>
    </row>
    <row r="4">
      <c r="A4" s="3" t="inlineStr">
        <is>
          <t>How to read status</t>
        </is>
      </c>
    </row>
    <row r="5">
      <c r="A5" s="4" t="inlineStr">
        <is>
          <t>Status</t>
        </is>
      </c>
      <c r="B5" s="4" t="inlineStr">
        <is>
          <t>Meaning</t>
        </is>
      </c>
    </row>
    <row r="6" ht="28" customHeight="1">
      <c r="A6" s="5" t="inlineStr">
        <is>
          <t>Done</t>
        </is>
      </c>
      <c r="B6" s="2" t="inlineStr">
        <is>
          <t>Coded and usable (API + persistence). May still need production keys or UI polish.</t>
        </is>
      </c>
    </row>
    <row r="7" ht="28" customHeight="1">
      <c r="A7" s="6" t="inlineStr">
        <is>
          <t>In Progress</t>
        </is>
      </c>
      <c r="B7" s="2" t="inlineStr">
        <is>
          <t>Partial: endpoint or screen exists but validations, UI, or edge cases are incomplete.</t>
        </is>
      </c>
    </row>
    <row r="8" ht="28" customHeight="1">
      <c r="A8" s="7" t="inlineStr">
        <is>
          <t>Under Review</t>
        </is>
      </c>
      <c r="B8" s="2" t="inlineStr">
        <is>
          <t>Implemented with mock/fallback (Razorpay, Leegality, Gmail, Firebase). Needs staging verification.</t>
        </is>
      </c>
    </row>
    <row r="9" ht="28" customHeight="1">
      <c r="A9" s="8" t="inlineStr">
        <is>
          <t>Not Started</t>
        </is>
      </c>
      <c r="B9" s="2" t="inlineStr">
        <is>
          <t>Not built in this repo yet (or explicitly out of scope).</t>
        </is>
      </c>
    </row>
    <row r="11">
      <c r="A11" s="3" t="inlineStr">
        <is>
          <t>Out of scope (confirmed)</t>
        </is>
      </c>
    </row>
    <row r="12">
      <c r="A12" t="inlineStr">
        <is>
          <t>Delivery / pickup executive operations</t>
        </is>
      </c>
    </row>
    <row r="13">
      <c r="A13" t="inlineStr">
        <is>
          <t>Partner self-service portal (admin manages partners)</t>
        </is>
      </c>
    </row>
    <row r="15">
      <c r="A15" s="3" t="inlineStr">
        <is>
          <t>Stack</t>
        </is>
      </c>
    </row>
    <row r="16" ht="48" customHeight="1">
      <c r="A16" s="2" t="inlineStr">
        <is>
          <t>Next.js 15 web :3000 (ported marketing site + new /fleet checkout path) · Next.js admin :3001 · NestJS API :4000 (identity, catalog, booking, payment, document, fleet, partner, notify, platform) · worker HOLD sweeper · socket :4010 · PostgreSQL/Prisma · Firebase Auth · Razorpay · Leegality · Zoho Forms · Expo mobile.</t>
        </is>
      </c>
    </row>
    <row r="18">
      <c r="A18" s="3" t="inlineStr">
        <is>
          <t>How to refresh this Google Sheet</t>
        </is>
      </c>
    </row>
    <row r="19" ht="36" customHeight="1">
      <c r="A19" s="2" t="inlineStr">
        <is>
          <t>File → Import → Upload Dream-Drive-Functionality-Tracker.xlsx → Import location: Replace spreadsheet. Each module is its own tab. Change Status via the dropdown; colours follow the cell.</t>
        </is>
      </c>
    </row>
    <row r="21">
      <c r="A21" s="3" t="inlineStr">
        <is>
          <t>Frontend developer tabs</t>
        </is>
      </c>
    </row>
    <row r="22" ht="36" customHeight="1">
      <c r="A22" s="2" t="inlineStr">
        <is>
          <t>FE Web Public, FE Web Account, FE Admin, FE Mobile — one row per page: route, how it should function, what exists today, APIs, status. Same dropdown: Done / In Progress / Under Review / Not Started.</t>
        </is>
      </c>
    </row>
  </sheetData>
  <mergeCells count="5">
    <mergeCell ref="A2:F2"/>
    <mergeCell ref="A16:F16"/>
    <mergeCell ref="A19:F19"/>
    <mergeCell ref="A1:F1"/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Frontend — customer dashboard (apps/web)</t>
        </is>
      </c>
    </row>
    <row r="2">
      <c r="A2" s="9" t="inlineStr">
        <is>
          <t>Service: apps/web :3000    |    Priority: P0    |    Overall status: In Progress</t>
        </is>
      </c>
    </row>
    <row r="3" ht="48" customHeight="1">
      <c r="A3" s="10" t="inlineStr">
        <is>
          <t>Logged-in area. Guard all /account/* with AuthContext; redirect to /login. Customer can only see own data. Support must not impersonate. Nine pages are listed starting at row 5 (scroll to the top of this tab).</t>
        </is>
      </c>
    </row>
    <row r="4" ht="28" customHeight="1">
      <c r="A4" s="11" t="inlineStr">
        <is>
          <t>ID</t>
        </is>
      </c>
      <c r="B4" s="11" t="inlineStr">
        <is>
          <t>Page</t>
        </is>
      </c>
      <c r="C4" s="11" t="inlineStr">
        <is>
          <t>Route</t>
        </is>
      </c>
      <c r="D4" s="11" t="inlineStr">
        <is>
          <t>How it should function</t>
        </is>
      </c>
      <c r="E4" s="11" t="inlineStr">
        <is>
          <t>What exists today + APIs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56" customHeight="1">
      <c r="A5" s="12" t="inlineStr">
        <is>
          <t>FE.A.01</t>
        </is>
      </c>
      <c r="B5" s="12" t="inlineStr">
        <is>
          <t>Account home</t>
        </is>
      </c>
      <c r="C5" s="12" t="inlineStr">
        <is>
          <t>/account</t>
        </is>
      </c>
      <c r="D5" s="12" t="inlineStr">
        <is>
          <t>Greeting, KYC status chip, shortcuts (bookings, KYC, invoices, tickets). Latest 5 bookings with status and track link. Edit name/phone.</t>
        </is>
      </c>
      <c r="E5" s="12" t="inlineStr">
        <is>
          <t>Account.jsx shows name, KYC, booking list, KYC link, sign out. GET /v1/me/bookings.</t>
        </is>
      </c>
      <c r="F5" s="13" t="inlineStr">
        <is>
          <t>In Progress</t>
        </is>
      </c>
      <c r="G5" s="12" t="inlineStr">
        <is>
          <t>P0</t>
        </is>
      </c>
      <c r="H5" s="12" t="inlineStr">
        <is>
          <t>Profile edit form (PATCH /v1/me); nav to invoices/wallet/tickets.</t>
        </is>
      </c>
    </row>
    <row r="6" ht="56" customHeight="1">
      <c r="A6" s="14" t="inlineStr">
        <is>
          <t>FE.A.02</t>
        </is>
      </c>
      <c r="B6" s="14" t="inlineStr">
        <is>
          <t>My bookings</t>
        </is>
      </c>
      <c r="C6" s="14" t="inlineStr">
        <is>
          <t>/account/bookings</t>
        </is>
      </c>
      <c r="D6" s="14" t="inlineStr">
        <is>
          <t>Table/cards of all bookings: publicId, car, dates, amount, status. Filter by status. Click → detail or /track/:id.</t>
        </is>
      </c>
      <c r="E6" s="14" t="inlineStr">
        <is>
          <t>List is inline on /account only. No dedicated route.</t>
        </is>
      </c>
      <c r="F6" s="13" t="inlineStr">
        <is>
          <t>In Progress</t>
        </is>
      </c>
      <c r="G6" s="14" t="inlineStr">
        <is>
          <t>P0</t>
        </is>
      </c>
      <c r="H6" s="14" t="inlineStr">
        <is>
          <t>Add /account/bookings page; empty state; cancel CTA with confirm.</t>
        </is>
      </c>
    </row>
    <row r="7" ht="56" customHeight="1">
      <c r="A7" s="12" t="inlineStr">
        <is>
          <t>FE.A.03</t>
        </is>
      </c>
      <c r="B7" s="12" t="inlineStr">
        <is>
          <t>Booking detail</t>
        </is>
      </c>
      <c r="C7" s="12" t="inlineStr">
        <is>
          <t>/account/bookings/:id</t>
        </is>
      </c>
      <c r="D7" s="12" t="inlineStr">
        <is>
          <t>Full timeline, vehicle/driver once assigned, pay remaining balance + deposit, links to KYC, agreement, invoices. Cancel until handover.</t>
        </is>
      </c>
      <c r="E7" s="12" t="inlineStr">
        <is>
          <t>Uses /track/:bookingId. GET /v1/bookings/:id returns history, payments, KYC, agreements, driver, inspections.</t>
        </is>
      </c>
      <c r="F7" s="13" t="inlineStr">
        <is>
          <t>In Progress</t>
        </is>
      </c>
      <c r="G7" s="12" t="inlineStr">
        <is>
          <t>P0</t>
        </is>
      </c>
      <c r="H7" s="12" t="inlineStr">
        <is>
          <t>Pay balance/deposit buttons; cancel; download invoice.</t>
        </is>
      </c>
    </row>
    <row r="8" ht="56" customHeight="1">
      <c r="A8" s="14" t="inlineStr">
        <is>
          <t>FE.A.04</t>
        </is>
      </c>
      <c r="B8" s="14" t="inlineStr">
        <is>
          <t>KYC upload</t>
        </is>
      </c>
      <c r="C8" s="14" t="inlineStr">
        <is>
          <t>/account/kyc</t>
        </is>
      </c>
      <c r="D8" s="14" t="inlineStr">
        <is>
          <t>Upload Aadhaar, PAN, DL, selfie (pdf/jpg/png). Show status NOT_STARTED → SUBMITTED → APPROVED/REJECTED. Rejection reason + re-upload. After approve, prompt to sign agreement.</t>
        </is>
      </c>
      <c r="E8" s="14" t="inlineStr">
        <is>
          <t>Kyc.jsx exists. POST /v1/kyc/submit, GET /v1/me/kyc. Uploads currently send a URL (no signed Cloudinary slot UI).</t>
        </is>
      </c>
      <c r="F8" s="13" t="inlineStr">
        <is>
          <t>In Progress</t>
        </is>
      </c>
      <c r="G8" s="14" t="inlineStr">
        <is>
          <t>P0</t>
        </is>
      </c>
      <c r="H8" s="14" t="inlineStr">
        <is>
          <t>Per-doc pickers; Cloudinary signed upload; rejection UX.</t>
        </is>
      </c>
    </row>
    <row r="9" ht="56" customHeight="1">
      <c r="A9" s="12" t="inlineStr">
        <is>
          <t>FE.A.05</t>
        </is>
      </c>
      <c r="B9" s="12" t="inlineStr">
        <is>
          <t>Agreements</t>
        </is>
      </c>
      <c r="C9" s="12" t="inlineStr">
        <is>
          <t>/account/agreements</t>
        </is>
      </c>
      <c r="D9" s="12" t="inlineStr">
        <is>
          <t>List agreements per booking. Open Leegality sign link. Download signed PDF when ready. Status DRAFT/SENT/SIGNED.</t>
        </is>
      </c>
      <c r="E9" s="12" t="inlineStr">
        <is>
          <t>No page. GET /v1/me/agreements/:id is by id only (no list).</t>
        </is>
      </c>
      <c r="F9" s="15" t="inlineStr">
        <is>
          <t>Not Started</t>
        </is>
      </c>
      <c r="G9" s="12" t="inlineStr">
        <is>
          <t>P0</t>
        </is>
      </c>
      <c r="H9" s="12" t="inlineStr">
        <is>
          <t>Needs list endpoint or derive from booking.agreements; then build UI.</t>
        </is>
      </c>
    </row>
    <row r="10" ht="56" customHeight="1">
      <c r="A10" s="14" t="inlineStr">
        <is>
          <t>FE.A.06</t>
        </is>
      </c>
      <c r="B10" s="14" t="inlineStr">
        <is>
          <t>Invoices</t>
        </is>
      </c>
      <c r="C10" s="14" t="inlineStr">
        <is>
          <t>/account/invoices</t>
        </is>
      </c>
      <c r="D10" s="14" t="inlineStr">
        <is>
          <t>List tax invoices (number, date, amount, GST). Download/print. Link to booking.</t>
        </is>
      </c>
      <c r="E10" s="14" t="inlineStr">
        <is>
          <t>No page. GET /v1/me/invoices returns Invoice + lines. No PDF yet.</t>
        </is>
      </c>
      <c r="F10" s="15" t="inlineStr">
        <is>
          <t>Not Started</t>
        </is>
      </c>
      <c r="G10" s="14" t="inlineStr">
        <is>
          <t>P0</t>
        </is>
      </c>
      <c r="H10" s="14" t="inlineStr">
        <is>
          <t>Build list + print view even if PDF comes later.</t>
        </is>
      </c>
    </row>
    <row r="11" ht="56" customHeight="1">
      <c r="A11" s="12" t="inlineStr">
        <is>
          <t>FE.A.07</t>
        </is>
      </c>
      <c r="B11" s="12" t="inlineStr">
        <is>
          <t>Wallet</t>
        </is>
      </c>
      <c r="C11" s="12" t="inlineStr">
        <is>
          <t>/account/wallet</t>
        </is>
      </c>
      <c r="D11" s="12" t="inlineStr">
        <is>
          <t>Show balance (INR) and last 50 txns. Later: pay part of token from wallet.</t>
        </is>
      </c>
      <c r="E11" s="12" t="inlineStr">
        <is>
          <t>No page. GET /v1/me/wallet exists (balance 0, no debit at checkout).</t>
        </is>
      </c>
      <c r="F11" s="15" t="inlineStr">
        <is>
          <t>Not Started</t>
        </is>
      </c>
      <c r="G11" s="12" t="inlineStr">
        <is>
          <t>P2</t>
        </is>
      </c>
      <c r="H11" s="12" t="inlineStr">
        <is>
          <t>Read-only UI is enough until wallet pay is built.</t>
        </is>
      </c>
    </row>
    <row r="12" ht="56" customHeight="1">
      <c r="A12" s="14" t="inlineStr">
        <is>
          <t>FE.A.08</t>
        </is>
      </c>
      <c r="B12" s="14" t="inlineStr">
        <is>
          <t>Support tickets</t>
        </is>
      </c>
      <c r="C12" s="14" t="inlineStr">
        <is>
          <t>/account/tickets</t>
        </is>
      </c>
      <c r="D12" s="14" t="inlineStr">
        <is>
          <t>Open a ticket (subject, body, optional booking). List status. Reply thread. Cannot see internal notes.</t>
        </is>
      </c>
      <c r="E12" s="14" t="inlineStr">
        <is>
          <t>No page. POST /v1/tickets exists. No customer list/reply UI.</t>
        </is>
      </c>
      <c r="F12" s="15" t="inlineStr">
        <is>
          <t>Not Started</t>
        </is>
      </c>
      <c r="G12" s="14" t="inlineStr">
        <is>
          <t>P2</t>
        </is>
      </c>
      <c r="H12" s="14" t="inlineStr">
        <is>
          <t>Add list + thread when GET /v1/me/tickets exists (today only POST).</t>
        </is>
      </c>
    </row>
    <row r="13" ht="56" customHeight="1">
      <c r="A13" s="12" t="inlineStr">
        <is>
          <t>FE.A.09</t>
        </is>
      </c>
      <c r="B13" s="12" t="inlineStr">
        <is>
          <t>Addresses / profile</t>
        </is>
      </c>
      <c r="C13" s="12" t="inlineStr">
        <is>
          <t>/account (section) or /account/profile</t>
        </is>
      </c>
      <c r="D13" s="12" t="inlineStr">
        <is>
          <t>Edit full name, phone (re-OTP later), default city, addresses. Once KYC approved, name matches KYC unless admin override.</t>
        </is>
      </c>
      <c r="E13" s="12" t="inlineStr">
        <is>
          <t>PATCH /v1/me accepts fullName, phone, address JSON. No form.</t>
        </is>
      </c>
      <c r="F13" s="15" t="inlineStr">
        <is>
          <t>Not Started</t>
        </is>
      </c>
      <c r="G13" s="12" t="inlineStr">
        <is>
          <t>P0</t>
        </is>
      </c>
      <c r="H13" s="12" t="inlineStr">
        <is>
          <t>Simple profile form on account home is enough for MVP.</t>
        </is>
      </c>
    </row>
    <row r="15">
      <c r="A15" s="3" t="inlineStr">
        <is>
          <t>Counts</t>
        </is>
      </c>
      <c r="B15" s="16" t="inlineStr">
        <is>
          <t>Done</t>
        </is>
      </c>
      <c r="C15" s="9" t="inlineStr">
        <is>
          <t>In Progress</t>
        </is>
      </c>
      <c r="D15" s="17" t="inlineStr">
        <is>
          <t>Under Review</t>
        </is>
      </c>
      <c r="E15" s="18" t="inlineStr">
        <is>
          <t>Not Started</t>
        </is>
      </c>
    </row>
    <row r="16">
      <c r="B16" s="19">
        <f>COUNTIF(F5:F13,"Done")</f>
        <v/>
      </c>
      <c r="C16" s="20">
        <f>COUNTIF(F5:F13,"In Progress")</f>
        <v/>
      </c>
      <c r="D16" s="21">
        <f>COUNTIF(F5:F13,"Under Review")</f>
        <v/>
      </c>
      <c r="E16" s="22">
        <f>COUNTIF(F5:F13,"Not Started")</f>
        <v/>
      </c>
    </row>
  </sheetData>
  <autoFilter ref="A4:H13"/>
  <mergeCells count="3">
    <mergeCell ref="A3:H3"/>
    <mergeCell ref="A2:H2"/>
    <mergeCell ref="A1:H1"/>
  </mergeCells>
  <dataValidations count="1">
    <dataValidation sqref="F5:F13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Frontend — public website (apps/web)</t>
        </is>
      </c>
    </row>
    <row r="2">
      <c r="A2" s="9" t="inlineStr">
        <is>
          <t>Service: apps/web :3000    |    Priority: P0–P1    |    Overall status: In Progress</t>
        </is>
      </c>
    </row>
    <row r="3" ht="48" customHeight="1">
      <c r="A3" s="10" t="inlineStr">
        <is>
          <t>Customer-facing marketing + booking path. New MS pages live under /fleet, /login, /checkout, /account, /track. Ported CRA pages still cover home, blogs, contact. Frontend owns UI, forms, Razorpay checkout widget, and calling NEXT_PUBLIC_API_URL (port 4000). No Prisma/Firebase Admin in the browser.</t>
        </is>
      </c>
    </row>
    <row r="4" ht="28" customHeight="1">
      <c r="A4" s="11" t="inlineStr">
        <is>
          <t>ID</t>
        </is>
      </c>
      <c r="B4" s="11" t="inlineStr">
        <is>
          <t>Page</t>
        </is>
      </c>
      <c r="C4" s="11" t="inlineStr">
        <is>
          <t>Route</t>
        </is>
      </c>
      <c r="D4" s="11" t="inlineStr">
        <is>
          <t>How it should function</t>
        </is>
      </c>
      <c r="E4" s="11" t="inlineStr">
        <is>
          <t>What exists today + APIs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56" customHeight="1">
      <c r="A5" s="12" t="inlineStr">
        <is>
          <t>FE.W.01</t>
        </is>
      </c>
      <c r="B5" s="12" t="inlineStr">
        <is>
          <t>Home</t>
        </is>
      </c>
      <c r="C5" s="12" t="inlineStr">
        <is>
          <t>/</t>
        </is>
      </c>
      <c r="D5" s="12" t="inlineStr">
        <is>
          <t>Hero with city + dates search CTA that goes to /fleet. Show CMS banners, featured cars, how-it-works, testimonials, blogs teaser, WhatsApp/enquiry CTAs. Promo strips (sale/monsoon) come from GET /v1/public/banners, not hardcoded CSS.</t>
        </is>
      </c>
      <c r="E5" s="12" t="inlineStr">
        <is>
          <t>Ported Home.jsx + Hero + MonsoonPromoBar (hardcoded). Does not call banners API.</t>
        </is>
      </c>
      <c r="F5" s="13" t="inlineStr">
        <is>
          <t>In Progress</t>
        </is>
      </c>
      <c r="G5" s="12" t="inlineStr">
        <is>
          <t>P1</t>
        </is>
      </c>
      <c r="H5" s="12" t="inlineStr">
        <is>
          <t>Wire banners/CMS; search form should land on /fleet with query params.</t>
        </is>
      </c>
    </row>
    <row r="6" ht="56" customHeight="1">
      <c r="A6" s="14" t="inlineStr">
        <is>
          <t>FE.W.02</t>
        </is>
      </c>
      <c r="B6" s="14" t="inlineStr">
        <is>
          <t>Fleet / search</t>
        </is>
      </c>
      <c r="C6" s="14" t="inlineStr">
        <is>
          <t>/fleet  (also /cars)</t>
        </is>
      </c>
      <c r="D6" s="14" t="inlineStr">
        <is>
          <t>Filters: city, from/to, rental type (self-drive vs chauffeur), seats, fuel, transmission, price. Results show image, from-price, available flag. Unavailable cars greyed. Sort by price. Clicking a card opens car detail with the same dates.</t>
        </is>
      </c>
      <c r="E6" s="14" t="inlineStr">
        <is>
          <t>Search.jsx on /fleet calls GET /v1/public/cities + /v1/public/search (city/dates/SELF_DRIVE only). /cars is still the old FleetCarousel.</t>
        </is>
      </c>
      <c r="F6" s="13" t="inlineStr">
        <is>
          <t>In Progress</t>
        </is>
      </c>
      <c r="G6" s="14" t="inlineStr">
        <is>
          <t>P0</t>
        </is>
      </c>
      <c r="H6" s="14" t="inlineStr">
        <is>
          <t>Add remaining filters; unify /cars vs /fleet; pass dates into detail.</t>
        </is>
      </c>
    </row>
    <row r="7" ht="56" customHeight="1">
      <c r="A7" s="12" t="inlineStr">
        <is>
          <t>FE.W.03</t>
        </is>
      </c>
      <c r="B7" s="12" t="inlineStr">
        <is>
          <t>Car detail + quote</t>
        </is>
      </c>
      <c r="C7" s="12" t="inlineStr">
        <is>
          <t>/cars/:slug</t>
        </is>
      </c>
      <c r="D7" s="12" t="inlineStr">
        <is>
          <t>Gallery, specs, city, from-price. Date/time + rental-type picker. Show blocked dates / availability. CTA creates a quote then navigates to /checkout/:quoteId. Guest can browse; checkout requires login.</t>
        </is>
      </c>
      <c r="E7" s="12" t="inlineStr">
        <is>
          <t>CarDetail.jsx exists. GET /v1/public/cars/:slug and availability. Calendar of blocked dates is thin.</t>
        </is>
      </c>
      <c r="F7" s="13" t="inlineStr">
        <is>
          <t>In Progress</t>
        </is>
      </c>
      <c r="G7" s="12" t="inlineStr">
        <is>
          <t>P0</t>
        </is>
      </c>
      <c r="H7" s="12" t="inlineStr">
        <is>
          <t>POST /v1/quotes from this page; blocked-date calendar; pickup/drop branch.</t>
        </is>
      </c>
    </row>
    <row r="8" ht="56" customHeight="1">
      <c r="A8" s="14" t="inlineStr">
        <is>
          <t>FE.W.04</t>
        </is>
      </c>
      <c r="B8" s="14" t="inlineStr">
        <is>
          <t>Login</t>
        </is>
      </c>
      <c r="C8" s="14" t="inlineStr">
        <is>
          <t>/login</t>
        </is>
      </c>
      <c r="D8" s="14" t="inlineStr">
        <is>
          <t>Email/password (Firebase) and email OTP. On success: POST /v1/auth/sync, store Bearer token, redirect to /account or intended checkout URL. Show errors and OTP resend cooldown.</t>
        </is>
      </c>
      <c r="E8" s="14" t="inlineStr">
        <is>
          <t>Login.jsx is a local demo: loginDev(email) only. AuthContext.jsx holds the token.</t>
        </is>
      </c>
      <c r="F8" s="13" t="inlineStr">
        <is>
          <t>In Progress</t>
        </is>
      </c>
      <c r="G8" s="14" t="inlineStr">
        <is>
          <t>P0</t>
        </is>
      </c>
      <c r="H8" s="14" t="inlineStr">
        <is>
          <t>Real Firebase Auth + OTP send/verify UI. Google social login later.</t>
        </is>
      </c>
    </row>
    <row r="9" ht="56" customHeight="1">
      <c r="A9" s="12" t="inlineStr">
        <is>
          <t>FE.W.05</t>
        </is>
      </c>
      <c r="B9" s="12" t="inlineStr">
        <is>
          <t>Checkout (quote review)</t>
        </is>
      </c>
      <c r="C9" s="12" t="inlineStr">
        <is>
          <t>/checkout/:quoteId</t>
        </is>
      </c>
      <c r="D9" s="12" t="inlineStr">
        <is>
          <t>Show frozen price, dates, car, deposit, offer-code field. Confirm creates booking (HOLD) then starts token payment. If quote expired, send back to car detail. Login gate if anonymous.</t>
        </is>
      </c>
      <c r="E9" s="12" t="inlineStr">
        <is>
          <t>Checkout.jsx applies offer, POST /v1/bookings, POST /v1/payments/orders, mock-verifies, then success. No quote GET (uses id from URL only).</t>
        </is>
      </c>
      <c r="F9" s="13" t="inlineStr">
        <is>
          <t>In Progress</t>
        </is>
      </c>
      <c r="G9" s="12" t="inlineStr">
        <is>
          <t>P0</t>
        </is>
      </c>
      <c r="H9" s="12" t="inlineStr">
        <is>
          <t>Load quote details; login redirect; do not mock-verify when Razorpay keys exist.</t>
        </is>
      </c>
    </row>
    <row r="10" ht="56" customHeight="1">
      <c r="A10" s="14" t="inlineStr">
        <is>
          <t>FE.W.06</t>
        </is>
      </c>
      <c r="B10" s="14" t="inlineStr">
        <is>
          <t>Pay (Razorpay)</t>
        </is>
      </c>
      <c r="C10" s="14" t="inlineStr">
        <is>
          <t>/checkout/pay</t>
        </is>
      </c>
      <c r="D10" s="14" t="inlineStr">
        <is>
          <t>Open Razorpay Checkout with orderId, keyId, amount from POST /v1/payments/orders. On success call POST /v1/payments/verify, then poll GET /v1/payments/:id until SUCCESS (webhook is source of truth). Handle failure/cancel.</t>
        </is>
      </c>
      <c r="E10" s="14" t="inlineStr">
        <is>
          <t>No /checkout/pay route. Checkout.jsx verifies immediately when order.mock is true.</t>
        </is>
      </c>
      <c r="F10" s="15" t="inlineStr">
        <is>
          <t>Not Started</t>
        </is>
      </c>
      <c r="G10" s="14" t="inlineStr">
        <is>
          <t>P0</t>
        </is>
      </c>
      <c r="H10" s="14" t="inlineStr">
        <is>
          <t>Add Razorpay.js checkout page; poll payment status; never trust client success alone.</t>
        </is>
      </c>
    </row>
    <row r="11" ht="56" customHeight="1">
      <c r="A11" s="12" t="inlineStr">
        <is>
          <t>FE.W.07</t>
        </is>
      </c>
      <c r="B11" s="12" t="inlineStr">
        <is>
          <t>Booking success</t>
        </is>
      </c>
      <c r="C11" s="12" t="inlineStr">
        <is>
          <t>/checkout/success</t>
        </is>
      </c>
      <c r="D11" s="12" t="inlineStr">
        <is>
          <t>Show public booking id, amount, next steps: KYC (self-drive) or wait for confirm (with-driver). Links to /account/kyc and /track/:id.</t>
        </is>
      </c>
      <c r="E11" s="12" t="inlineStr">
        <is>
          <t>SuccessMs.jsx exists after mock pay.</t>
        </is>
      </c>
      <c r="F11" s="13" t="inlineStr">
        <is>
          <t>In Progress</t>
        </is>
      </c>
      <c r="G11" s="12" t="inlineStr">
        <is>
          <t>P0</t>
        </is>
      </c>
      <c r="H11" s="12" t="inlineStr">
        <is>
          <t>Poll payment; branch copy for self-drive vs chauffeur.</t>
        </is>
      </c>
    </row>
    <row r="12" ht="56" customHeight="1">
      <c r="A12" s="14" t="inlineStr">
        <is>
          <t>FE.W.08</t>
        </is>
      </c>
      <c r="B12" s="14" t="inlineStr">
        <is>
          <t>Track booking</t>
        </is>
      </c>
      <c r="C12" s="14" t="inlineStr">
        <is>
          <t>/track/:bookingId</t>
        </is>
      </c>
      <c r="D12" s="14" t="inlineStr">
        <is>
          <t>Timeline: HOLD → payment → KYC → signature → confirmed → handover → ongoing → return → completed. Logged-in users use GET /v1/bookings/:id. Logged-out: id + phone OTP (later). Show driver name after assignment.</t>
        </is>
      </c>
      <c r="E12" s="14" t="inlineStr">
        <is>
          <t>Track.jsx on /track/:bookingId. Old /order-tracking still exists. Guest OTP not built.</t>
        </is>
      </c>
      <c r="F12" s="13" t="inlineStr">
        <is>
          <t>In Progress</t>
        </is>
      </c>
      <c r="G12" s="14" t="inlineStr">
        <is>
          <t>P0</t>
        </is>
      </c>
      <c r="H12" s="14" t="inlineStr">
        <is>
          <t>Guest track; live status via socket :4010 optional.</t>
        </is>
      </c>
    </row>
    <row r="13" ht="56" customHeight="1">
      <c r="A13" s="12" t="inlineStr">
        <is>
          <t>FE.W.09</t>
        </is>
      </c>
      <c r="B13" s="12" t="inlineStr">
        <is>
          <t>Blogs</t>
        </is>
      </c>
      <c r="C13" s="12" t="inlineStr">
        <is>
          <t>/blogs  /blogs/:slug</t>
        </is>
      </c>
      <c r="D13" s="12" t="inlineStr">
        <is>
          <t>List published posts with hero image, date, category. Detail shows body + comments (if enabled). SEO title/description from CMS.</t>
        </is>
      </c>
      <c r="E13" s="12" t="inlineStr">
        <is>
          <t>AllBlogs / Blogspage ported (old context/Firestore). API GET /v1/public/blogs and /:slug exists.</t>
        </is>
      </c>
      <c r="F13" s="13" t="inlineStr">
        <is>
          <t>In Progress</t>
        </is>
      </c>
      <c r="G13" s="12" t="inlineStr">
        <is>
          <t>P1</t>
        </is>
      </c>
      <c r="H13" s="12" t="inlineStr">
        <is>
          <t>Point UI at platform API; drop Firestore blog context.</t>
        </is>
      </c>
    </row>
    <row r="14" ht="56" customHeight="1">
      <c r="A14" s="14" t="inlineStr">
        <is>
          <t>FE.W.10</t>
        </is>
      </c>
      <c r="B14" s="14" t="inlineStr">
        <is>
          <t>Contact / enquiry</t>
        </is>
      </c>
      <c r="C14" s="14" t="inlineStr">
        <is>
          <t>/contact</t>
        </is>
      </c>
      <c r="D14" s="14" t="inlineStr">
        <is>
          <t>Name, phone or email, city, message. Submit POST /v1/public/contact (creates CRM lead). Success toast. WhatsApp CTA can fire POST /v1/public/leads with source=whatsapp.</t>
        </is>
      </c>
      <c r="E14" s="14" t="inlineStr">
        <is>
          <t>Ported Contact.jsx + WhatsAppPopup. May still hit old backend.</t>
        </is>
      </c>
      <c r="F14" s="13" t="inlineStr">
        <is>
          <t>In Progress</t>
        </is>
      </c>
      <c r="G14" s="14" t="inlineStr">
        <is>
          <t>P1</t>
        </is>
      </c>
      <c r="H14" s="14" t="inlineStr">
        <is>
          <t>Switch to API; track WhatsApp clicks as leads.</t>
        </is>
      </c>
    </row>
    <row r="15" ht="56" customHeight="1">
      <c r="A15" s="12" t="inlineStr">
        <is>
          <t>FE.W.11</t>
        </is>
      </c>
      <c r="B15" s="12" t="inlineStr">
        <is>
          <t>CMS / legal pages</t>
        </is>
      </c>
      <c r="C15" s="12" t="inlineStr">
        <is>
          <t>/about  /howitworks  /termsandconditions  /legal/:slug</t>
        </is>
      </c>
      <c r="D15" s="12" t="inlineStr">
        <is>
          <t>Render published CmsPage by slug (title + body + meta). Admin can update without a deploy.</t>
        </is>
      </c>
      <c r="E15" s="12" t="inlineStr">
        <is>
          <t>Static About, HowItWorks, TermsAndConditions components. GET /v1/public/pages/:slug exists unused.</t>
        </is>
      </c>
      <c r="F15" s="13" t="inlineStr">
        <is>
          <t>In Progress</t>
        </is>
      </c>
      <c r="G15" s="12" t="inlineStr">
        <is>
          <t>P1</t>
        </is>
      </c>
      <c r="H15" s="12" t="inlineStr">
        <is>
          <t>Drive these from CMS; add /legal/:slug.</t>
        </is>
      </c>
    </row>
    <row r="16" ht="56" customHeight="1">
      <c r="A16" s="14" t="inlineStr">
        <is>
          <t>FE.W.12</t>
        </is>
      </c>
      <c r="B16" s="14" t="inlineStr">
        <is>
          <t>Packages (airport / tours)</t>
        </is>
      </c>
      <c r="C16" s="14" t="inlineStr">
        <is>
          <t>/packages</t>
        </is>
      </c>
      <c r="D16" s="14" t="inlineStr">
        <is>
          <t>List published tour/airport packages with days, price, inclusions. Select → quote with product AIRPORT/TOUR.</t>
        </is>
      </c>
      <c r="E16" s="14" t="inlineStr">
        <is>
          <t>No route in Container.jsx. GET /v1/public/packages is ready.</t>
        </is>
      </c>
      <c r="F16" s="15" t="inlineStr">
        <is>
          <t>Not Started</t>
        </is>
      </c>
      <c r="G16" s="14" t="inlineStr">
        <is>
          <t>P2</t>
        </is>
      </c>
      <c r="H16" s="14" t="inlineStr">
        <is>
          <t>Build listing + detail after daily booking path is stable.</t>
        </is>
      </c>
    </row>
    <row r="17" ht="56" customHeight="1">
      <c r="A17" s="12" t="inlineStr">
        <is>
          <t>FE.W.13</t>
        </is>
      </c>
      <c r="B17" s="12" t="inlineStr">
        <is>
          <t>Header, footer, global chrome</t>
        </is>
      </c>
      <c r="C17" s="12" t="inlineStr">
        <is>
          <t>all public routes</t>
        </is>
      </c>
      <c r="D17" s="12" t="inlineStr">
        <is>
          <t>Nav: Home, Fleet, Packages, Blogs, Contact, Login/Account. After login show name + KYC badge. City selector. Footer links to legal CMS pages.</t>
        </is>
      </c>
      <c r="E17" s="12" t="inlineStr">
        <is>
          <t>Ported Header/Footer. AuthProvider wraps the app but header may not use it.</t>
        </is>
      </c>
      <c r="F17" s="13" t="inlineStr">
        <is>
          <t>In Progress</t>
        </is>
      </c>
      <c r="G17" s="12" t="inlineStr">
        <is>
          <t>P0</t>
        </is>
      </c>
      <c r="H17" s="12" t="inlineStr">
        <is>
          <t>Auth-aware nav; link Fleet to /fleet not old carousel.</t>
        </is>
      </c>
    </row>
    <row r="18" ht="56" customHeight="1">
      <c r="A18" s="14" t="inlineStr">
        <is>
          <t>FE.W.14</t>
        </is>
      </c>
      <c r="B18" s="14" t="inlineStr">
        <is>
          <t>Testimonials</t>
        </is>
      </c>
      <c r="C18" s="14" t="inlineStr">
        <is>
          <t>/testimonials  (and home module)</t>
        </is>
      </c>
      <c r="D18" s="14" t="inlineStr">
        <is>
          <t>Published testimonials on home. Optional listing page.</t>
        </is>
      </c>
      <c r="E18" s="14" t="inlineStr">
        <is>
          <t>Testimonial.jsx + TestimonialContext (old). No new API.</t>
        </is>
      </c>
      <c r="F18" s="15" t="inlineStr">
        <is>
          <t>Not Started</t>
        </is>
      </c>
      <c r="G18" s="14" t="inlineStr">
        <is>
          <t>P1</t>
        </is>
      </c>
      <c r="H18" s="14" t="inlineStr">
        <is>
          <t>Needs public testimonials API first, then wire home.</t>
        </is>
      </c>
    </row>
    <row r="20">
      <c r="A20" s="3" t="inlineStr">
        <is>
          <t>Counts</t>
        </is>
      </c>
      <c r="B20" s="16" t="inlineStr">
        <is>
          <t>Done</t>
        </is>
      </c>
      <c r="C20" s="9" t="inlineStr">
        <is>
          <t>In Progress</t>
        </is>
      </c>
      <c r="D20" s="17" t="inlineStr">
        <is>
          <t>Under Review</t>
        </is>
      </c>
      <c r="E20" s="18" t="inlineStr">
        <is>
          <t>Not Started</t>
        </is>
      </c>
    </row>
    <row r="21">
      <c r="B21" s="19">
        <f>COUNTIF(F5:F18,"Done")</f>
        <v/>
      </c>
      <c r="C21" s="20">
        <f>COUNTIF(F5:F18,"In Progress")</f>
        <v/>
      </c>
      <c r="D21" s="21">
        <f>COUNTIF(F5:F18,"Under Review")</f>
        <v/>
      </c>
      <c r="E21" s="22">
        <f>COUNTIF(F5:F18,"Not Started")</f>
        <v/>
      </c>
    </row>
  </sheetData>
  <autoFilter ref="A4:H18"/>
  <mergeCells count="3">
    <mergeCell ref="A3:H3"/>
    <mergeCell ref="A2:H2"/>
    <mergeCell ref="A1:H1"/>
  </mergeCells>
  <dataValidations count="1">
    <dataValidation sqref="F5:F18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Frontend — operations console (apps/admin :3001)</t>
        </is>
      </c>
    </row>
    <row r="2">
      <c r="A2" s="9" t="inlineStr">
        <is>
          <t>Service: apps/admin    |    Priority: P0–P1    |    Overall status: In Progress</t>
        </is>
      </c>
    </row>
    <row r="3" ht="48" customHeight="1">
      <c r="A3" s="10" t="inlineStr">
        <is>
          <t>Staff-only Next.js app. Token in localStorage (dd_token). Sidebar Shell. Role-aware nav later (SUPER_ADMIN sees all). Call the same API :4000. Old Firestore admin still lives under apps/web /admin — do not extend it; migrate screens here.</t>
        </is>
      </c>
    </row>
    <row r="4" ht="28" customHeight="1">
      <c r="A4" s="11" t="inlineStr">
        <is>
          <t>ID</t>
        </is>
      </c>
      <c r="B4" s="11" t="inlineStr">
        <is>
          <t>Page</t>
        </is>
      </c>
      <c r="C4" s="11" t="inlineStr">
        <is>
          <t>Route</t>
        </is>
      </c>
      <c r="D4" s="11" t="inlineStr">
        <is>
          <t>How it should function</t>
        </is>
      </c>
      <c r="E4" s="11" t="inlineStr">
        <is>
          <t>What exists today + APIs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56" customHeight="1">
      <c r="A5" s="12" t="inlineStr">
        <is>
          <t>FE.AD.01</t>
        </is>
      </c>
      <c r="B5" s="12" t="inlineStr">
        <is>
          <t>Admin login</t>
        </is>
      </c>
      <c r="C5" s="12" t="inlineStr">
        <is>
          <t>/login</t>
        </is>
      </c>
      <c r="D5" s="12" t="inlineStr">
        <is>
          <t>Staff email login (Firebase or dev token). Reject CUSTOMER role. Redirect to dashboard.</t>
        </is>
      </c>
      <c r="E5" s="12" t="inlineStr">
        <is>
          <t>apps/admin/app/login/page.jsx exists.</t>
        </is>
      </c>
      <c r="F5" s="13" t="inlineStr">
        <is>
          <t>In Progress</t>
        </is>
      </c>
      <c r="G5" s="12" t="inlineStr">
        <is>
          <t>P0</t>
        </is>
      </c>
      <c r="H5" s="12" t="inlineStr">
        <is>
          <t>Block non-staff; show role; production Firebase.</t>
        </is>
      </c>
    </row>
    <row r="6" ht="56" customHeight="1">
      <c r="A6" s="14" t="inlineStr">
        <is>
          <t>FE.AD.02</t>
        </is>
      </c>
      <c r="B6" s="14" t="inlineStr">
        <is>
          <t>Dashboard</t>
        </is>
      </c>
      <c r="C6" s="14" t="inlineStr">
        <is>
          <t>/</t>
        </is>
      </c>
      <c r="D6" s="14" t="inlineStr">
        <is>
          <t>KPI cards: bookings, pending KYC, pending signatures, failed payments, today’s handovers, overdue returns, vehicles in workshop, revenue. Filter city + date. Status breakdown table.</t>
        </is>
      </c>
      <c r="E6" s="14" t="inlineStr">
        <is>
          <t>app/page.jsx shows bookings, pending KYC, vehicles free, revenue, byStatus. GET /v1/admin/dashboard.</t>
        </is>
      </c>
      <c r="F6" s="13" t="inlineStr">
        <is>
          <t>In Progress</t>
        </is>
      </c>
      <c r="G6" s="14" t="inlineStr">
        <is>
          <t>P1</t>
        </is>
      </c>
      <c r="H6" s="14" t="inlineStr">
        <is>
          <t>Add remaining KPIs when API returns them; city filter.</t>
        </is>
      </c>
    </row>
    <row r="7" ht="56" customHeight="1">
      <c r="A7" s="12" t="inlineStr">
        <is>
          <t>FE.AD.03</t>
        </is>
      </c>
      <c r="B7" s="12" t="inlineStr">
        <is>
          <t>Bookings list</t>
        </is>
      </c>
      <c r="C7" s="12" t="inlineStr">
        <is>
          <t>/bookings</t>
        </is>
      </c>
      <c r="D7" s="12" t="inlineStr">
        <is>
          <t>Filter by status, city, dates, q. Columns: publicId, customer, car, dates, amount, status. Row click → detail.</t>
        </is>
      </c>
      <c r="E7" s="12" t="inlineStr">
        <is>
          <t>app/bookings/page.jsx exists (list).</t>
        </is>
      </c>
      <c r="F7" s="13" t="inlineStr">
        <is>
          <t>In Progress</t>
        </is>
      </c>
      <c r="G7" s="12" t="inlineStr">
        <is>
          <t>P0</t>
        </is>
      </c>
      <c r="H7" s="12" t="inlineStr">
        <is>
          <t>Filters + pagination; status chips.</t>
        </is>
      </c>
    </row>
    <row r="8" ht="56" customHeight="1">
      <c r="A8" s="14" t="inlineStr">
        <is>
          <t>FE.AD.04</t>
        </is>
      </c>
      <c r="B8" s="14" t="inlineStr">
        <is>
          <t>Booking detail + ops</t>
        </is>
      </c>
      <c r="C8" s="14" t="inlineStr">
        <is>
          <t>/bookings/[id]</t>
        </is>
      </c>
      <c r="D8" s="14" t="inlineStr">
        <is>
          <t>Timeline, notes, flight number. Actions: change status, assign vehicle, assign driver, handover (odometer, fuel, photos), return (+ damages), generate/send agreement, mark signed, record offline pay. Show payments/KYC/inspections.</t>
        </is>
      </c>
      <c r="E8" s="14" t="inlineStr">
        <is>
          <t>No [id] page. APIs: GET booking, PATCH, POST status/assign-vehicle/assign-driver, POST handover/return, agreements, offline pay.</t>
        </is>
      </c>
      <c r="F8" s="15" t="inlineStr">
        <is>
          <t>Not Started</t>
        </is>
      </c>
      <c r="G8" s="14" t="inlineStr">
        <is>
          <t>P0</t>
        </is>
      </c>
      <c r="H8" s="14" t="inlineStr">
        <is>
          <t>Highest-value admin screen after list. Build this next.</t>
        </is>
      </c>
    </row>
    <row r="9" ht="56" customHeight="1">
      <c r="A9" s="12" t="inlineStr">
        <is>
          <t>FE.AD.05</t>
        </is>
      </c>
      <c r="B9" s="12" t="inlineStr">
        <is>
          <t>Car models</t>
        </is>
      </c>
      <c r="C9" s="12" t="inlineStr">
        <is>
          <t>/cars</t>
        </is>
      </c>
      <c r="D9" s="12" t="inlineStr">
        <is>
          <t>CRUD models: name, slug, type, seats, fuel, transmission, city, published, featured, images, pricing rules (daily/hourly/deposit).</t>
        </is>
      </c>
      <c r="E9" s="12" t="inlineStr">
        <is>
          <t>app/cars/page.jsx + GET/POST/PATCH /v1/admin/car-models and pricing-rules.</t>
        </is>
      </c>
      <c r="F9" s="13" t="inlineStr">
        <is>
          <t>In Progress</t>
        </is>
      </c>
      <c r="G9" s="12" t="inlineStr">
        <is>
          <t>P0</t>
        </is>
      </c>
      <c r="H9" s="12" t="inlineStr">
        <is>
          <t>Image manager; inline pricing editor.</t>
        </is>
      </c>
    </row>
    <row r="10" ht="56" customHeight="1">
      <c r="A10" s="14" t="inlineStr">
        <is>
          <t>FE.AD.06</t>
        </is>
      </c>
      <c r="B10" s="14" t="inlineStr">
        <is>
          <t>Vehicles</t>
        </is>
      </c>
      <c r="C10" s="14" t="inlineStr">
        <is>
          <t>/vehicles</t>
        </is>
      </c>
      <c r="D10" s="14" t="inlineStr">
        <is>
          <t>CRUD physical cars: registration, model, branch, status, odometer, partner. Expiry alerts for RC/insurance/PUC.</t>
        </is>
      </c>
      <c r="E10" s="14" t="inlineStr">
        <is>
          <t>app/vehicles/page.jsx + /v1/admin/vehicles. GET expiries exists, no document CRUD UI.</t>
        </is>
      </c>
      <c r="F10" s="13" t="inlineStr">
        <is>
          <t>In Progress</t>
        </is>
      </c>
      <c r="G10" s="14" t="inlineStr">
        <is>
          <t>P0</t>
        </is>
      </c>
      <c r="H10" s="14" t="inlineStr">
        <is>
          <t>Status change; branch transfer; document expiry panel.</t>
        </is>
      </c>
    </row>
    <row r="11" ht="56" customHeight="1">
      <c r="A11" s="12" t="inlineStr">
        <is>
          <t>FE.AD.07</t>
        </is>
      </c>
      <c r="B11" s="12" t="inlineStr">
        <is>
          <t>Availability calendar</t>
        </is>
      </c>
      <c r="C11" s="12" t="inlineStr">
        <is>
          <t>/availability</t>
        </is>
      </c>
      <c r="D11" s="12" t="inlineStr">
        <is>
          <t>Per city/branch, see vehicles blocked by bookings, HOLD, maintenance. Staff can add a manual block.</t>
        </is>
      </c>
      <c r="E11" s="12" t="inlineStr">
        <is>
          <t>No page. Availability is computed in catalog search.</t>
        </is>
      </c>
      <c r="F11" s="15" t="inlineStr">
        <is>
          <t>Not Started</t>
        </is>
      </c>
      <c r="G11" s="12" t="inlineStr">
        <is>
          <t>P1</t>
        </is>
      </c>
      <c r="H11" s="12" t="inlineStr">
        <is>
          <t>Read-only calendar first; manual block later.</t>
        </is>
      </c>
    </row>
    <row r="12" ht="56" customHeight="1">
      <c r="A12" s="14" t="inlineStr">
        <is>
          <t>FE.AD.08</t>
        </is>
      </c>
      <c r="B12" s="14" t="inlineStr">
        <is>
          <t>Customers</t>
        </is>
      </c>
      <c r="C12" s="14" t="inlineStr">
        <is>
          <t>/customers</t>
        </is>
      </c>
      <c r="D12" s="14" t="inlineStr">
        <is>
          <t>Search users. View profile, roles, bookings. SUPER_ADMIN: set roles, disable. No impersonation.</t>
        </is>
      </c>
      <c r="E12" s="14" t="inlineStr">
        <is>
          <t>app/customers/page.jsx + GET /v1/admin/users, PATCH roles, POST disable.</t>
        </is>
      </c>
      <c r="F12" s="13" t="inlineStr">
        <is>
          <t>In Progress</t>
        </is>
      </c>
      <c r="G12" s="14" t="inlineStr">
        <is>
          <t>P0</t>
        </is>
      </c>
      <c r="H12" s="14" t="inlineStr">
        <is>
          <t>Customer drawer with bookings + KYC; role editor.</t>
        </is>
      </c>
    </row>
    <row r="13" ht="56" customHeight="1">
      <c r="A13" s="12" t="inlineStr">
        <is>
          <t>FE.AD.09</t>
        </is>
      </c>
      <c r="B13" s="12" t="inlineStr">
        <is>
          <t>KYC queue</t>
        </is>
      </c>
      <c r="C13" s="12" t="inlineStr">
        <is>
          <t>/kyc</t>
        </is>
      </c>
      <c r="D13" s="12" t="inlineStr">
        <is>
          <t>Queue SUBMITTED/UNDER_REVIEW. Open docs. Approve/reject with notes. Decision advances self-drive booking.</t>
        </is>
      </c>
      <c r="E13" s="12" t="inlineStr">
        <is>
          <t>app/kyc/page.jsx + GET /v1/admin/kyc, POST .../decision.</t>
        </is>
      </c>
      <c r="F13" s="13" t="inlineStr">
        <is>
          <t>In Progress</t>
        </is>
      </c>
      <c r="G13" s="12" t="inlineStr">
        <is>
          <t>P0</t>
        </is>
      </c>
      <c r="H13" s="12" t="inlineStr">
        <is>
          <t>Doc viewer; reject reason required.</t>
        </is>
      </c>
    </row>
    <row r="14" ht="56" customHeight="1">
      <c r="A14" s="14" t="inlineStr">
        <is>
          <t>FE.AD.10</t>
        </is>
      </c>
      <c r="B14" s="14" t="inlineStr">
        <is>
          <t>Agreements</t>
        </is>
      </c>
      <c r="C14" s="14" t="inlineStr">
        <is>
          <t>/agreements</t>
        </is>
      </c>
      <c r="D14" s="14" t="inlineStr">
        <is>
          <t>List envelopes. Generate PDF, send Leegality, mark signed (waiver), void/re-issue later.</t>
        </is>
      </c>
      <c r="E14" s="14" t="inlineStr">
        <is>
          <t>No admin page. APIs: generate, send-leegality, mark-signed.</t>
        </is>
      </c>
      <c r="F14" s="15" t="inlineStr">
        <is>
          <t>Not Started</t>
        </is>
      </c>
      <c r="G14" s="14" t="inlineStr">
        <is>
          <t>P0</t>
        </is>
      </c>
      <c r="H14" s="14" t="inlineStr">
        <is>
          <t>Can also live as actions on booking detail for MVP.</t>
        </is>
      </c>
    </row>
    <row r="15" ht="56" customHeight="1">
      <c r="A15" s="12" t="inlineStr">
        <is>
          <t>FE.AD.11</t>
        </is>
      </c>
      <c r="B15" s="12" t="inlineStr">
        <is>
          <t>Payments / invoices / deposits</t>
        </is>
      </c>
      <c r="C15" s="12" t="inlineStr">
        <is>
          <t>/payments  /invoices  /deposits</t>
        </is>
      </c>
      <c r="D15" s="12" t="inlineStr">
        <is>
          <t>List payments. Record offline cash/UPI. Refund (finance). Capture/release deposit. Show invoice numbers.</t>
        </is>
      </c>
      <c r="E15" s="12" t="inlineStr">
        <is>
          <t>app/payments/page.jsx only. Refund/deposit/offline APIs exist without dedicated UI.</t>
        </is>
      </c>
      <c r="F15" s="13" t="inlineStr">
        <is>
          <t>In Progress</t>
        </is>
      </c>
      <c r="G15" s="12" t="inlineStr">
        <is>
          <t>P0</t>
        </is>
      </c>
      <c r="H15" s="12" t="inlineStr">
        <is>
          <t>Add refund + offline + deposit actions; invoices tab.</t>
        </is>
      </c>
    </row>
    <row r="16" ht="56" customHeight="1">
      <c r="A16" s="14" t="inlineStr">
        <is>
          <t>FE.AD.12</t>
        </is>
      </c>
      <c r="B16" s="14" t="inlineStr">
        <is>
          <t>Drivers</t>
        </is>
      </c>
      <c r="C16" s="14" t="inlineStr">
        <is>
          <t>/drivers</t>
        </is>
      </c>
      <c r="D16" s="14" t="inlineStr">
        <is>
          <t>CRUD chauffeurs, branch, active flag. Show current assignment. Leave calendar later.</t>
        </is>
      </c>
      <c r="E16" s="14" t="inlineStr">
        <is>
          <t>app/drivers/page.jsx + driver CRUD. Assign happens on booking.</t>
        </is>
      </c>
      <c r="F16" s="13" t="inlineStr">
        <is>
          <t>In Progress</t>
        </is>
      </c>
      <c r="G16" s="14" t="inlineStr">
        <is>
          <t>P1</t>
        </is>
      </c>
      <c r="H16" s="14" t="inlineStr">
        <is>
          <t>Documents/DL expiry; availability.</t>
        </is>
      </c>
    </row>
    <row r="17" ht="56" customHeight="1">
      <c r="A17" s="12" t="inlineStr">
        <is>
          <t>FE.AD.13</t>
        </is>
      </c>
      <c r="B17" s="12" t="inlineStr">
        <is>
          <t>Maintenance</t>
        </is>
      </c>
      <c r="C17" s="12" t="inlineStr">
        <is>
          <t>/maintenance</t>
        </is>
      </c>
      <c r="D17" s="12" t="inlineStr">
        <is>
          <t>Create workshop jobs with dates → blocks availability. Complete job returns vehicle AVAILABLE. Parts/cost later.</t>
        </is>
      </c>
      <c r="E17" s="12" t="inlineStr">
        <is>
          <t>No Shell link. POST /v1/admin/maintenance-jobs exists.</t>
        </is>
      </c>
      <c r="F17" s="15" t="inlineStr">
        <is>
          <t>Not Started</t>
        </is>
      </c>
      <c r="G17" s="12" t="inlineStr">
        <is>
          <t>P2</t>
        </is>
      </c>
      <c r="H17" s="12" t="inlineStr">
        <is>
          <t>Simple list + create is enough after booking path.</t>
        </is>
      </c>
    </row>
    <row r="18" ht="56" customHeight="1">
      <c r="A18" s="14" t="inlineStr">
        <is>
          <t>FE.AD.14</t>
        </is>
      </c>
      <c r="B18" s="14" t="inlineStr">
        <is>
          <t>Handover / inspections</t>
        </is>
      </c>
      <c r="C18" s="14" t="inlineStr">
        <is>
          <t>/inspections  or booking detail</t>
        </is>
      </c>
      <c r="D18" s="14" t="inlineStr">
        <is>
          <t>Start handover: odometer, fuel, photos. Start return: same + damage lines (amount). Completes booking and posts partner ledger.</t>
        </is>
      </c>
      <c r="E18" s="14" t="inlineStr">
        <is>
          <t>No page. POST /v1/admin/bookings/:id/handover and /return.</t>
        </is>
      </c>
      <c r="F18" s="15" t="inlineStr">
        <is>
          <t>Not Started</t>
        </is>
      </c>
      <c r="G18" s="14" t="inlineStr">
        <is>
          <t>P1</t>
        </is>
      </c>
      <c r="H18" s="14" t="inlineStr">
        <is>
          <t>Ship as booking-detail actions rather than a separate app.</t>
        </is>
      </c>
    </row>
    <row r="19" ht="56" customHeight="1">
      <c r="A19" s="12" t="inlineStr">
        <is>
          <t>FE.AD.15</t>
        </is>
      </c>
      <c r="B19" s="12" t="inlineStr">
        <is>
          <t>Partners + ledger + settlements</t>
        </is>
      </c>
      <c r="C19" s="12" t="inlineStr">
        <is>
          <t>/partners  /partners/[id]/ledger  /settlements</t>
        </is>
      </c>
      <c r="D19" s="12" t="inlineStr">
        <is>
          <t>CRUD partners, commission %. Ledger of trip earnings. Generate settlement period, mark paid with UTR. No partner login.</t>
        </is>
      </c>
      <c r="E19" s="12" t="inlineStr">
        <is>
          <t>app/partners/page.jsx list. Ledger/settlement APIs exist, no UI.</t>
        </is>
      </c>
      <c r="F19" s="13" t="inlineStr">
        <is>
          <t>In Progress</t>
        </is>
      </c>
      <c r="G19" s="12" t="inlineStr">
        <is>
          <t>P2</t>
        </is>
      </c>
      <c r="H19" s="12" t="inlineStr">
        <is>
          <t>Partner detail + generate/mark-paid.</t>
        </is>
      </c>
    </row>
    <row r="20" ht="56" customHeight="1">
      <c r="A20" s="14" t="inlineStr">
        <is>
          <t>FE.AD.16</t>
        </is>
      </c>
      <c r="B20" s="14" t="inlineStr">
        <is>
          <t>Cities, branches, staff</t>
        </is>
      </c>
      <c r="C20" s="14" t="inlineStr">
        <is>
          <t>/cities  /branches  /staff</t>
        </is>
      </c>
      <c r="D20" s="14" t="inlineStr">
        <is>
          <t>CRUD cities/branches. Assign StaffScope (user + city + branch). City/branch switcher in the shell.</t>
        </is>
      </c>
      <c r="E20" s="14" t="inlineStr">
        <is>
          <t>No pages. City/branch APIs exist. StaffScope assign API missing.</t>
        </is>
      </c>
      <c r="F20" s="15" t="inlineStr">
        <is>
          <t>Not Started</t>
        </is>
      </c>
      <c r="G20" s="14" t="inlineStr">
        <is>
          <t>P1</t>
        </is>
      </c>
      <c r="H20" s="14" t="inlineStr">
        <is>
          <t>Cities/branches UI can ship before staff-scope API.</t>
        </is>
      </c>
    </row>
    <row r="21" ht="56" customHeight="1">
      <c r="A21" s="12" t="inlineStr">
        <is>
          <t>FE.AD.17</t>
        </is>
      </c>
      <c r="B21" s="12" t="inlineStr">
        <is>
          <t>Offers</t>
        </is>
      </c>
      <c r="C21" s="12" t="inlineStr">
        <is>
          <t>/offers</t>
        </is>
      </c>
      <c r="D21" s="12" t="inlineStr">
        <is>
          <t>Create percent/flat codes with date window and max redemptions. Freeze abusive codes later.</t>
        </is>
      </c>
      <c r="E21" s="12" t="inlineStr">
        <is>
          <t>app/offers/page.jsx + GET/POST /v1/admin/offers.</t>
        </is>
      </c>
      <c r="F21" s="13" t="inlineStr">
        <is>
          <t>In Progress</t>
        </is>
      </c>
      <c r="G21" s="12" t="inlineStr">
        <is>
          <t>P1</t>
        </is>
      </c>
      <c r="H21" s="12" t="inlineStr">
        <is>
          <t>Disable/freeze; city/product limits when API supports them.</t>
        </is>
      </c>
    </row>
    <row r="22" ht="56" customHeight="1">
      <c r="A22" s="14" t="inlineStr">
        <is>
          <t>FE.AD.18</t>
        </is>
      </c>
      <c r="B22" s="14" t="inlineStr">
        <is>
          <t>CMS, banners, blogs, media</t>
        </is>
      </c>
      <c r="C22" s="14" t="inlineStr">
        <is>
          <t>/cms  /blogs  /banners  /media</t>
        </is>
      </c>
      <c r="D22" s="14" t="inlineStr">
        <is>
          <t>Edit pages by slug, banners (image, link, dates), blogs, media library. Publish/unpublish.</t>
        </is>
      </c>
      <c r="E22" s="14" t="inlineStr">
        <is>
          <t>app/cms/page.jsx + CMS/banner APIs. No blogs/media screens in admin app.</t>
        </is>
      </c>
      <c r="F22" s="13" t="inlineStr">
        <is>
          <t>In Progress</t>
        </is>
      </c>
      <c r="G22" s="14" t="inlineStr">
        <is>
          <t>P1</t>
        </is>
      </c>
      <c r="H22" s="14" t="inlineStr">
        <is>
          <t>Banners + blogs editors; do not grow apps/web/Admin/*.</t>
        </is>
      </c>
    </row>
    <row r="23" ht="56" customHeight="1">
      <c r="A23" s="12" t="inlineStr">
        <is>
          <t>FE.AD.19</t>
        </is>
      </c>
      <c r="B23" s="12" t="inlineStr">
        <is>
          <t>Leads CRM</t>
        </is>
      </c>
      <c r="C23" s="12" t="inlineStr">
        <is>
          <t>/leads</t>
        </is>
      </c>
      <c r="D23" s="12" t="inlineStr">
        <is>
          <t>Pipeline NEW → CONTACTED → QUALIFIED → BOOKED/LOST. Notes. Convert to quote later.</t>
        </is>
      </c>
      <c r="E23" s="12" t="inlineStr">
        <is>
          <t>app/leads/page.jsx + list/status/notes APIs. Convert not built.</t>
        </is>
      </c>
      <c r="F23" s="13" t="inlineStr">
        <is>
          <t>In Progress</t>
        </is>
      </c>
      <c r="G23" s="12" t="inlineStr">
        <is>
          <t>P1</t>
        </is>
      </c>
      <c r="H23" s="12" t="inlineStr">
        <is>
          <t>Kanban or status dropdown; convert when API exists.</t>
        </is>
      </c>
    </row>
    <row r="24" ht="56" customHeight="1">
      <c r="A24" s="14" t="inlineStr">
        <is>
          <t>FE.AD.20</t>
        </is>
      </c>
      <c r="B24" s="14" t="inlineStr">
        <is>
          <t>Tickets &amp; reviews</t>
        </is>
      </c>
      <c r="C24" s="14" t="inlineStr">
        <is>
          <t>/tickets  /reviews</t>
        </is>
      </c>
      <c r="D24" s="14" t="inlineStr">
        <is>
          <t>Ticket queue: assign, reply, internal notes. Reviews: publish/hide.</t>
        </is>
      </c>
      <c r="E24" s="14" t="inlineStr">
        <is>
          <t>No Shell links. GET /v1/admin/tickets and /reviews exist. No PATCH moderate.</t>
        </is>
      </c>
      <c r="F24" s="15" t="inlineStr">
        <is>
          <t>Not Started</t>
        </is>
      </c>
      <c r="G24" s="14" t="inlineStr">
        <is>
          <t>P2</t>
        </is>
      </c>
      <c r="H24" s="14" t="inlineStr">
        <is>
          <t>List views first; moderate when PATCH exists.</t>
        </is>
      </c>
    </row>
    <row r="25" ht="56" customHeight="1">
      <c r="A25" s="12" t="inlineStr">
        <is>
          <t>FE.AD.21</t>
        </is>
      </c>
      <c r="B25" s="12" t="inlineStr">
        <is>
          <t>Reports</t>
        </is>
      </c>
      <c r="C25" s="12" t="inlineStr">
        <is>
          <t>/reports  /reports/revenue  /reports/gst</t>
        </is>
      </c>
      <c r="D25" s="12" t="inlineStr">
        <is>
          <t>Date-range revenue, bookings, GST. Export CSV later. Finance + SUPER_ADMIN.</t>
        </is>
      </c>
      <c r="E25" s="12" t="inlineStr">
        <is>
          <t>app/reports/page.jsx + GET /v1/admin/reports/:kind (revenue or gst).</t>
        </is>
      </c>
      <c r="F25" s="13" t="inlineStr">
        <is>
          <t>In Progress</t>
        </is>
      </c>
      <c r="G25" s="12" t="inlineStr">
        <is>
          <t>P2</t>
        </is>
      </c>
      <c r="H25" s="12" t="inlineStr">
        <is>
          <t>Date filters; CSV download.</t>
        </is>
      </c>
    </row>
    <row r="26" ht="56" customHeight="1">
      <c r="A26" s="14" t="inlineStr">
        <is>
          <t>FE.AD.22</t>
        </is>
      </c>
      <c r="B26" s="14" t="inlineStr">
        <is>
          <t>Notification log + templates</t>
        </is>
      </c>
      <c r="C26" s="14" t="inlineStr">
        <is>
          <t>/notifications</t>
        </is>
      </c>
      <c r="D26" s="14" t="inlineStr">
        <is>
          <t>Delivery log. Edit email templates by key. Resend later.</t>
        </is>
      </c>
      <c r="E26" s="14" t="inlineStr">
        <is>
          <t>No page. GET logs + PUT templates exist.</t>
        </is>
      </c>
      <c r="F26" s="15" t="inlineStr">
        <is>
          <t>Not Started</t>
        </is>
      </c>
      <c r="G26" s="14" t="inlineStr">
        <is>
          <t>P1</t>
        </is>
      </c>
      <c r="H26" s="14" t="inlineStr">
        <is>
          <t>Simple table + template editor.</t>
        </is>
      </c>
    </row>
    <row r="28">
      <c r="A28" s="3" t="inlineStr">
        <is>
          <t>Counts</t>
        </is>
      </c>
      <c r="B28" s="16" t="inlineStr">
        <is>
          <t>Done</t>
        </is>
      </c>
      <c r="C28" s="9" t="inlineStr">
        <is>
          <t>In Progress</t>
        </is>
      </c>
      <c r="D28" s="17" t="inlineStr">
        <is>
          <t>Under Review</t>
        </is>
      </c>
      <c r="E28" s="18" t="inlineStr">
        <is>
          <t>Not Started</t>
        </is>
      </c>
    </row>
    <row r="29">
      <c r="B29" s="19">
        <f>COUNTIF(F5:F26,"Done")</f>
        <v/>
      </c>
      <c r="C29" s="20">
        <f>COUNTIF(F5:F26,"In Progress")</f>
        <v/>
      </c>
      <c r="D29" s="21">
        <f>COUNTIF(F5:F26,"Under Review")</f>
        <v/>
      </c>
      <c r="E29" s="22">
        <f>COUNTIF(F5:F26,"Not Started")</f>
        <v/>
      </c>
    </row>
  </sheetData>
  <autoFilter ref="A4:H26"/>
  <mergeCells count="3">
    <mergeCell ref="A3:H3"/>
    <mergeCell ref="A2:H2"/>
    <mergeCell ref="A1:H1"/>
  </mergeCells>
  <dataValidations count="1">
    <dataValidation sqref="F5:F26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Frontend — customer Expo app (apps/mobile)</t>
        </is>
      </c>
    </row>
    <row r="2">
      <c r="A2" s="9" t="inlineStr">
        <is>
          <t>Service: apps/mobile    |    Priority: P2    |    Overall status: In Progress</t>
        </is>
      </c>
    </row>
    <row r="3" ht="48" customHeight="1">
      <c r="A3" s="10" t="inlineStr">
        <is>
          <t>Same /v1 APIs as web. Do not build full navigation until web checkout + KYC + pay work. Current App.tsx is a single-screen prototype.</t>
        </is>
      </c>
    </row>
    <row r="4" ht="28" customHeight="1">
      <c r="A4" s="11" t="inlineStr">
        <is>
          <t>ID</t>
        </is>
      </c>
      <c r="B4" s="11" t="inlineStr">
        <is>
          <t>Page</t>
        </is>
      </c>
      <c r="C4" s="11" t="inlineStr">
        <is>
          <t>Route</t>
        </is>
      </c>
      <c r="D4" s="11" t="inlineStr">
        <is>
          <t>How it should function</t>
        </is>
      </c>
      <c r="E4" s="11" t="inlineStr">
        <is>
          <t>What exists today + APIs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56" customHeight="1">
      <c r="A5" s="12" t="inlineStr">
        <is>
          <t>FE.M.01</t>
        </is>
      </c>
      <c r="B5" s="12" t="inlineStr">
        <is>
          <t>Splash / force-update</t>
        </is>
      </c>
      <c r="C5" s="12" t="inlineStr">
        <is>
          <t>screen 1</t>
        </is>
      </c>
      <c r="D5" s="12" t="inlineStr">
        <is>
          <t>Brand splash. If app version &lt; min, block with store link.</t>
        </is>
      </c>
      <c r="E5" s="12" t="inlineStr">
        <is>
          <t>Not built.</t>
        </is>
      </c>
      <c r="F5" s="15" t="inlineStr">
        <is>
          <t>Not Started</t>
        </is>
      </c>
      <c r="G5" s="12" t="inlineStr">
        <is>
          <t>P2</t>
        </is>
      </c>
      <c r="H5" s="12" t="inlineStr">
        <is>
          <t>Needs min-version from API or remote config.</t>
        </is>
      </c>
    </row>
    <row r="6" ht="56" customHeight="1">
      <c r="A6" s="14" t="inlineStr">
        <is>
          <t>FE.M.02</t>
        </is>
      </c>
      <c r="B6" s="14" t="inlineStr">
        <is>
          <t>Login / OTP</t>
        </is>
      </c>
      <c r="C6" s="14" t="inlineStr">
        <is>
          <t>screen 2</t>
        </is>
      </c>
      <c r="D6" s="14" t="inlineStr">
        <is>
          <t>Email OTP or Firebase phone/email. Store token. POST /v1/auth/sync. POST /v1/me/devices for FCM.</t>
        </is>
      </c>
      <c r="E6" s="14" t="inlineStr">
        <is>
          <t>Dev token only (Bearer dev:email) on App.tsx.</t>
        </is>
      </c>
      <c r="F6" s="15" t="inlineStr">
        <is>
          <t>Not Started</t>
        </is>
      </c>
      <c r="G6" s="14" t="inlineStr">
        <is>
          <t>P2</t>
        </is>
      </c>
      <c r="H6" s="14" t="inlineStr">
        <is>
          <t>No OTP UI.</t>
        </is>
      </c>
    </row>
    <row r="7" ht="56" customHeight="1">
      <c r="A7" s="12" t="inlineStr">
        <is>
          <t>FE.M.03</t>
        </is>
      </c>
      <c r="B7" s="12" t="inlineStr">
        <is>
          <t>Home + search</t>
        </is>
      </c>
      <c r="C7" s="12" t="inlineStr">
        <is>
          <t>screens 3–4</t>
        </is>
      </c>
      <c r="D7" s="12" t="inlineStr">
        <is>
          <t>City + dates + type. Results from GET /v1/public/search.</t>
        </is>
      </c>
      <c r="E7" s="12" t="inlineStr">
        <is>
          <t>App.tsx lists cars from search on load, no filters.</t>
        </is>
      </c>
      <c r="F7" s="13" t="inlineStr">
        <is>
          <t>In Progress</t>
        </is>
      </c>
      <c r="G7" s="12" t="inlineStr">
        <is>
          <t>P2</t>
        </is>
      </c>
      <c r="H7" s="12" t="inlineStr">
        <is>
          <t>Filters, pull-to-refresh, empty state.</t>
        </is>
      </c>
    </row>
    <row r="8" ht="56" customHeight="1">
      <c r="A8" s="14" t="inlineStr">
        <is>
          <t>FE.M.04</t>
        </is>
      </c>
      <c r="B8" s="14" t="inlineStr">
        <is>
          <t>Car detail</t>
        </is>
      </c>
      <c r="C8" s="14" t="inlineStr">
        <is>
          <t>screen 5</t>
        </is>
      </c>
      <c r="D8" s="14" t="inlineStr">
        <is>
          <t>Gallery, availability calendar, quote CTA.</t>
        </is>
      </c>
      <c r="E8" s="14" t="inlineStr">
        <is>
          <t>Not built (name + price only on list).</t>
        </is>
      </c>
      <c r="F8" s="15" t="inlineStr">
        <is>
          <t>Not Started</t>
        </is>
      </c>
      <c r="G8" s="14" t="inlineStr">
        <is>
          <t>P2</t>
        </is>
      </c>
      <c r="H8" s="14" t="inlineStr"/>
    </row>
    <row r="9" ht="56" customHeight="1">
      <c r="A9" s="12" t="inlineStr">
        <is>
          <t>FE.M.05</t>
        </is>
      </c>
      <c r="B9" s="12" t="inlineStr">
        <is>
          <t>Checkout + Razorpay</t>
        </is>
      </c>
      <c r="C9" s="12" t="inlineStr">
        <is>
          <t>screens 6–7</t>
        </is>
      </c>
      <c r="D9" s="12" t="inlineStr">
        <is>
          <t>Quote → booking → Razorpay native checkout → verify/poll.</t>
        </is>
      </c>
      <c r="E9" s="12" t="inlineStr">
        <is>
          <t>Not built.</t>
        </is>
      </c>
      <c r="F9" s="15" t="inlineStr">
        <is>
          <t>Not Started</t>
        </is>
      </c>
      <c r="G9" s="12" t="inlineStr">
        <is>
          <t>P2</t>
        </is>
      </c>
      <c r="H9" s="12" t="inlineStr">
        <is>
          <t>After web Razorpay path is proven.</t>
        </is>
      </c>
    </row>
    <row r="10" ht="56" customHeight="1">
      <c r="A10" s="14" t="inlineStr">
        <is>
          <t>FE.M.06</t>
        </is>
      </c>
      <c r="B10" s="14" t="inlineStr">
        <is>
          <t>KYC + agreement</t>
        </is>
      </c>
      <c r="C10" s="14" t="inlineStr">
        <is>
          <t>screen 8</t>
        </is>
      </c>
      <c r="D10" s="14" t="inlineStr">
        <is>
          <t>Upload docs (camera/gallery). Open Leegality in-app browser.</t>
        </is>
      </c>
      <c r="E10" s="14" t="inlineStr">
        <is>
          <t>Not built.</t>
        </is>
      </c>
      <c r="F10" s="15" t="inlineStr">
        <is>
          <t>Not Started</t>
        </is>
      </c>
      <c r="G10" s="14" t="inlineStr">
        <is>
          <t>P2</t>
        </is>
      </c>
      <c r="H10" s="14" t="inlineStr"/>
    </row>
    <row r="11" ht="56" customHeight="1">
      <c r="A11" s="12" t="inlineStr">
        <is>
          <t>FE.M.07</t>
        </is>
      </c>
      <c r="B11" s="12" t="inlineStr">
        <is>
          <t>Bookings + tracking</t>
        </is>
      </c>
      <c r="C11" s="12" t="inlineStr">
        <is>
          <t>screens 9–10</t>
        </is>
      </c>
      <c r="D11" s="12" t="inlineStr">
        <is>
          <t>List + timeline. Deep link dreamdrive://bookings/:id.</t>
        </is>
      </c>
      <c r="E11" s="12" t="inlineStr">
        <is>
          <t>App.tsx shows publicId + status after dev login.</t>
        </is>
      </c>
      <c r="F11" s="13" t="inlineStr">
        <is>
          <t>In Progress</t>
        </is>
      </c>
      <c r="G11" s="12" t="inlineStr">
        <is>
          <t>P2</t>
        </is>
      </c>
      <c r="H11" s="12" t="inlineStr">
        <is>
          <t>Detail timeline; push open.</t>
        </is>
      </c>
    </row>
    <row r="12" ht="56" customHeight="1">
      <c r="A12" s="14" t="inlineStr">
        <is>
          <t>FE.M.08</t>
        </is>
      </c>
      <c r="B12" s="14" t="inlineStr">
        <is>
          <t>Profile, tickets, notifications</t>
        </is>
      </c>
      <c r="C12" s="14" t="inlineStr">
        <is>
          <t>screens 11–13</t>
        </is>
      </c>
      <c r="D12" s="14" t="inlineStr">
        <is>
          <t>Profile, support ticket, in-app notification list.</t>
        </is>
      </c>
      <c r="E12" s="14" t="inlineStr">
        <is>
          <t>Not built.</t>
        </is>
      </c>
      <c r="F12" s="15" t="inlineStr">
        <is>
          <t>Not Started</t>
        </is>
      </c>
      <c r="G12" s="14" t="inlineStr">
        <is>
          <t>P2</t>
        </is>
      </c>
      <c r="H12" s="14" t="inlineStr"/>
    </row>
    <row r="14">
      <c r="A14" s="3" t="inlineStr">
        <is>
          <t>Counts</t>
        </is>
      </c>
      <c r="B14" s="16" t="inlineStr">
        <is>
          <t>Done</t>
        </is>
      </c>
      <c r="C14" s="9" t="inlineStr">
        <is>
          <t>In Progress</t>
        </is>
      </c>
      <c r="D14" s="17" t="inlineStr">
        <is>
          <t>Under Review</t>
        </is>
      </c>
      <c r="E14" s="18" t="inlineStr">
        <is>
          <t>Not Started</t>
        </is>
      </c>
    </row>
    <row r="15">
      <c r="B15" s="19">
        <f>COUNTIF(F5:F12,"Done")</f>
        <v/>
      </c>
      <c r="C15" s="20">
        <f>COUNTIF(F5:F12,"In Progress")</f>
        <v/>
      </c>
      <c r="D15" s="21">
        <f>COUNTIF(F5:F12,"Under Review")</f>
        <v/>
      </c>
      <c r="E15" s="22">
        <f>COUNTIF(F5:F12,"Not Started")</f>
        <v/>
      </c>
    </row>
  </sheetData>
  <autoFilter ref="A4:H12"/>
  <mergeCells count="3">
    <mergeCell ref="A3:H3"/>
    <mergeCell ref="A2:H2"/>
    <mergeCell ref="A1:H1"/>
  </mergeCells>
  <dataValidations count="1">
    <dataValidation sqref="F5:F12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D6A4F"/>
    <outlinePr summaryBelow="1" summaryRight="1"/>
    <pageSetUpPr/>
  </sheetPr>
  <dimension ref="A1:L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10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70" customWidth="1" min="12" max="12"/>
  </cols>
  <sheetData>
    <row r="1">
      <c r="A1" s="1" t="inlineStr">
        <is>
          <t>Dream-Drive MS — module + frontend summary</t>
        </is>
      </c>
    </row>
    <row r="2">
      <c r="A2" s="10" t="inlineStr">
        <is>
          <t>Change Status on each module tab. Counts below use COUNTIF against that tab. Overall status is the current engineering judgement for the module as a whole.</t>
        </is>
      </c>
    </row>
    <row r="4" ht="24" customHeight="1">
      <c r="A4" s="11" t="inlineStr">
        <is>
          <t>#</t>
        </is>
      </c>
      <c r="B4" s="11" t="inlineStr">
        <is>
          <t>Module</t>
        </is>
      </c>
      <c r="C4" s="11" t="inlineStr">
        <is>
          <t>Service</t>
        </is>
      </c>
      <c r="D4" s="11" t="inlineStr">
        <is>
          <t>Priority</t>
        </is>
      </c>
      <c r="E4" s="11" t="inlineStr">
        <is>
          <t>Overall status</t>
        </is>
      </c>
      <c r="F4" s="11" t="inlineStr">
        <is>
          <t>Done</t>
        </is>
      </c>
      <c r="G4" s="11" t="inlineStr">
        <is>
          <t>In Progress</t>
        </is>
      </c>
      <c r="H4" s="11" t="inlineStr">
        <is>
          <t>Under Review</t>
        </is>
      </c>
      <c r="I4" s="11" t="inlineStr">
        <is>
          <t>Not Started</t>
        </is>
      </c>
      <c r="J4" s="11" t="inlineStr">
        <is>
          <t>Total items</t>
        </is>
      </c>
      <c r="K4" s="11" t="inlineStr">
        <is>
          <t>% Done</t>
        </is>
      </c>
      <c r="L4" s="11" t="inlineStr">
        <is>
          <t>Notes</t>
        </is>
      </c>
    </row>
    <row r="5" ht="48" customHeight="1">
      <c r="A5" s="23" t="n">
        <v>1</v>
      </c>
      <c r="B5" s="23" t="inlineStr">
        <is>
          <t>FE Web Account</t>
        </is>
      </c>
      <c r="C5" s="23" t="inlineStr">
        <is>
          <t>apps/web :3000</t>
        </is>
      </c>
      <c r="D5" s="23" t="inlineStr">
        <is>
          <t>P0</t>
        </is>
      </c>
      <c r="E5" s="24" t="inlineStr">
        <is>
          <t>In Progress</t>
        </is>
      </c>
      <c r="F5" s="23">
        <f>COUNTIF('FE Web Account'!F:F,"Done")</f>
        <v/>
      </c>
      <c r="G5" s="23">
        <f>COUNTIF('FE Web Account'!F:F,"In Progress")</f>
        <v/>
      </c>
      <c r="H5" s="23">
        <f>COUNTIF('FE Web Account'!F:F,"Under Review")</f>
        <v/>
      </c>
      <c r="I5" s="23">
        <f>COUNTIF('FE Web Account'!F:F,"Not Started")</f>
        <v/>
      </c>
      <c r="J5" s="23">
        <f>F5+G5+H5+I5</f>
        <v/>
      </c>
      <c r="K5" s="25">
        <f>IF(J5=0,0,F5/J5)</f>
        <v/>
      </c>
      <c r="L5" s="12" t="inlineStr">
        <is>
          <t>Logged-in area. Guard all /account/* with AuthContext; redirect to /login. Customer can only see own data. Support must not impersonate. Nine pages are listed starting at row 5 (scroll to the top of this tab).</t>
        </is>
      </c>
    </row>
    <row r="6" ht="48" customHeight="1">
      <c r="A6" s="26" t="n">
        <v>2</v>
      </c>
      <c r="B6" s="26" t="inlineStr">
        <is>
          <t>FE Web Public</t>
        </is>
      </c>
      <c r="C6" s="26" t="inlineStr">
        <is>
          <t>apps/web :3000</t>
        </is>
      </c>
      <c r="D6" s="26" t="inlineStr">
        <is>
          <t>P0–P1</t>
        </is>
      </c>
      <c r="E6" s="24" t="inlineStr">
        <is>
          <t>In Progress</t>
        </is>
      </c>
      <c r="F6" s="26">
        <f>COUNTIF('FE Web Public'!F:F,"Done")</f>
        <v/>
      </c>
      <c r="G6" s="26">
        <f>COUNTIF('FE Web Public'!F:F,"In Progress")</f>
        <v/>
      </c>
      <c r="H6" s="26">
        <f>COUNTIF('FE Web Public'!F:F,"Under Review")</f>
        <v/>
      </c>
      <c r="I6" s="26">
        <f>COUNTIF('FE Web Public'!F:F,"Not Started")</f>
        <v/>
      </c>
      <c r="J6" s="26">
        <f>F6+G6+H6+I6</f>
        <v/>
      </c>
      <c r="K6" s="27">
        <f>IF(J6=0,0,F6/J6)</f>
        <v/>
      </c>
      <c r="L6" s="14" t="inlineStr">
        <is>
          <t>Customer-facing marketing + booking path. New MS pages live under /fleet, /login, /checkout, /account, /track. Ported CRA pages still cover home, blogs, contact. Frontend owns UI, forms, Razorpay checkout widget, and calling NEXT_PUBLIC_API_URL (port 4000). No Prisma/Firebase Admin in the browser.</t>
        </is>
      </c>
    </row>
    <row r="7" ht="48" customHeight="1">
      <c r="A7" s="23" t="n">
        <v>3</v>
      </c>
      <c r="B7" s="23" t="inlineStr">
        <is>
          <t>FE Admin</t>
        </is>
      </c>
      <c r="C7" s="23" t="inlineStr">
        <is>
          <t>apps/admin</t>
        </is>
      </c>
      <c r="D7" s="23" t="inlineStr">
        <is>
          <t>P0–P1</t>
        </is>
      </c>
      <c r="E7" s="24" t="inlineStr">
        <is>
          <t>In Progress</t>
        </is>
      </c>
      <c r="F7" s="23">
        <f>COUNTIF('FE Admin'!F:F,"Done")</f>
        <v/>
      </c>
      <c r="G7" s="23">
        <f>COUNTIF('FE Admin'!F:F,"In Progress")</f>
        <v/>
      </c>
      <c r="H7" s="23">
        <f>COUNTIF('FE Admin'!F:F,"Under Review")</f>
        <v/>
      </c>
      <c r="I7" s="23">
        <f>COUNTIF('FE Admin'!F:F,"Not Started")</f>
        <v/>
      </c>
      <c r="J7" s="23">
        <f>F7+G7+H7+I7</f>
        <v/>
      </c>
      <c r="K7" s="25">
        <f>IF(J7=0,0,F7/J7)</f>
        <v/>
      </c>
      <c r="L7" s="12" t="inlineStr">
        <is>
          <t>Staff-only Next.js app. Token in localStorage (dd_token). Sidebar Shell. Role-aware nav later (SUPER_ADMIN sees all). Call the same API :4000. Old Firestore admin still lives under apps/web /admin — do not extend it; migrate screens here.</t>
        </is>
      </c>
    </row>
    <row r="8" ht="48" customHeight="1">
      <c r="A8" s="26" t="n">
        <v>4</v>
      </c>
      <c r="B8" s="26" t="inlineStr">
        <is>
          <t>FE Mobile</t>
        </is>
      </c>
      <c r="C8" s="26" t="inlineStr">
        <is>
          <t>apps/mobile</t>
        </is>
      </c>
      <c r="D8" s="26" t="inlineStr">
        <is>
          <t>P2</t>
        </is>
      </c>
      <c r="E8" s="24" t="inlineStr">
        <is>
          <t>In Progress</t>
        </is>
      </c>
      <c r="F8" s="26">
        <f>COUNTIF('FE Mobile'!F:F,"Done")</f>
        <v/>
      </c>
      <c r="G8" s="26">
        <f>COUNTIF('FE Mobile'!F:F,"In Progress")</f>
        <v/>
      </c>
      <c r="H8" s="26">
        <f>COUNTIF('FE Mobile'!F:F,"Under Review")</f>
        <v/>
      </c>
      <c r="I8" s="26">
        <f>COUNTIF('FE Mobile'!F:F,"Not Started")</f>
        <v/>
      </c>
      <c r="J8" s="26">
        <f>F8+G8+H8+I8</f>
        <v/>
      </c>
      <c r="K8" s="27">
        <f>IF(J8=0,0,F8/J8)</f>
        <v/>
      </c>
      <c r="L8" s="14" t="inlineStr">
        <is>
          <t>Same /v1 APIs as web. Do not build full navigation until web checkout + KYC + pay work. Current App.tsx is a single-screen prototype.</t>
        </is>
      </c>
    </row>
    <row r="9" ht="48" customHeight="1">
      <c r="A9" s="23" t="n">
        <v>5</v>
      </c>
      <c r="B9" s="23" t="inlineStr">
        <is>
          <t>01 Auth &amp; Security</t>
        </is>
      </c>
      <c r="C9" s="23" t="inlineStr">
        <is>
          <t>identity (apps/api)</t>
        </is>
      </c>
      <c r="D9" s="23" t="inlineStr">
        <is>
          <t>P0</t>
        </is>
      </c>
      <c r="E9" s="24" t="inlineStr">
        <is>
          <t>In Progress</t>
        </is>
      </c>
      <c r="F9" s="23">
        <f>COUNTIF('01 Auth &amp; Security'!F:F,"Done")</f>
        <v/>
      </c>
      <c r="G9" s="23">
        <f>COUNTIF('01 Auth &amp; Security'!F:F,"In Progress")</f>
        <v/>
      </c>
      <c r="H9" s="23">
        <f>COUNTIF('01 Auth &amp; Security'!F:F,"Under Review")</f>
        <v/>
      </c>
      <c r="I9" s="23">
        <f>COUNTIF('01 Auth &amp; Security'!F:F,"Not Started")</f>
        <v/>
      </c>
      <c r="J9" s="23">
        <f>F9+G9+H9+I9</f>
        <v/>
      </c>
      <c r="K9" s="25">
        <f>IF(J9=0,0,F9/J9)</f>
        <v/>
      </c>
      <c r="L9" s="12" t="inlineStr">
        <is>
          <t>Firebase + Postgres user sync, OTP, roles, and audit exist. OTP is in-memory (not Redis). Google login and last-super-admin lock are not built. Staff city/branch scope is stored but not fully enforced on every list.</t>
        </is>
      </c>
    </row>
    <row r="10" ht="48" customHeight="1">
      <c r="A10" s="26" t="n">
        <v>6</v>
      </c>
      <c r="B10" s="26" t="inlineStr">
        <is>
          <t>02 Public CMS</t>
        </is>
      </c>
      <c r="C10" s="26" t="inlineStr">
        <is>
          <t>platform + apps/web</t>
        </is>
      </c>
      <c r="D10" s="26" t="inlineStr">
        <is>
          <t>P1</t>
        </is>
      </c>
      <c r="E10" s="24" t="inlineStr">
        <is>
          <t>In Progress</t>
        </is>
      </c>
      <c r="F10" s="26">
        <f>COUNTIF('02 Public CMS'!F:F,"Done")</f>
        <v/>
      </c>
      <c r="G10" s="26">
        <f>COUNTIF('02 Public CMS'!F:F,"In Progress")</f>
        <v/>
      </c>
      <c r="H10" s="26">
        <f>COUNTIF('02 Public CMS'!F:F,"Under Review")</f>
        <v/>
      </c>
      <c r="I10" s="26">
        <f>COUNTIF('02 Public CMS'!F:F,"Not Started")</f>
        <v/>
      </c>
      <c r="J10" s="26">
        <f>F10+G10+H10+I10</f>
        <v/>
      </c>
      <c r="K10" s="27">
        <f>IF(J10=0,0,F10/J10)</f>
        <v/>
      </c>
      <c r="L10" s="14" t="inlineStr">
        <is>
          <t>Ported marketing site still runs in Next.js (home, blogs, monsoon bar). New CMS APIs exist for pages, banners, blogs, contact. Admin CMS page is a first version. Testimonials/comments still largely on the old UI.</t>
        </is>
      </c>
    </row>
    <row r="11" ht="48" customHeight="1">
      <c r="A11" s="23" t="n">
        <v>7</v>
      </c>
      <c r="B11" s="23" t="inlineStr">
        <is>
          <t>03 Customer Dashboard</t>
        </is>
      </c>
      <c r="C11" s="23" t="inlineStr">
        <is>
          <t>identity + booking + payment + document + web</t>
        </is>
      </c>
      <c r="D11" s="23" t="inlineStr">
        <is>
          <t>P0</t>
        </is>
      </c>
      <c r="E11" s="24" t="inlineStr">
        <is>
          <t>In Progress</t>
        </is>
      </c>
      <c r="F11" s="23">
        <f>COUNTIF('03 Customer Dashboard'!F:F,"Done")</f>
        <v/>
      </c>
      <c r="G11" s="23">
        <f>COUNTIF('03 Customer Dashboard'!F:F,"In Progress")</f>
        <v/>
      </c>
      <c r="H11" s="23">
        <f>COUNTIF('03 Customer Dashboard'!F:F,"Under Review")</f>
        <v/>
      </c>
      <c r="I11" s="23">
        <f>COUNTIF('03 Customer Dashboard'!F:F,"Not Started")</f>
        <v/>
      </c>
      <c r="J11" s="23">
        <f>F11+G11+H11+I11</f>
        <v/>
      </c>
      <c r="K11" s="25">
        <f>IF(J11=0,0,F11/J11)</f>
        <v/>
      </c>
      <c r="L11" s="12" t="inlineStr">
        <is>
          <t>Logged-in /account lists bookings and KYC status. APIs exist for invoices, wallet, tickets, agreements-by-id. Dedicated screens for invoices/wallet/tickets/agreements are not built yet.</t>
        </is>
      </c>
    </row>
    <row r="12" ht="48" customHeight="1">
      <c r="A12" s="26" t="n">
        <v>8</v>
      </c>
      <c r="B12" s="26" t="inlineStr">
        <is>
          <t>04 Search &amp; Availability</t>
        </is>
      </c>
      <c r="C12" s="26" t="inlineStr">
        <is>
          <t>catalog</t>
        </is>
      </c>
      <c r="D12" s="26" t="inlineStr">
        <is>
          <t>P0</t>
        </is>
      </c>
      <c r="E12" s="24" t="inlineStr">
        <is>
          <t>In Progress</t>
        </is>
      </c>
      <c r="F12" s="26">
        <f>COUNTIF('04 Search &amp; Availability'!F:F,"Done")</f>
        <v/>
      </c>
      <c r="G12" s="26">
        <f>COUNTIF('04 Search &amp; Availability'!F:F,"In Progress")</f>
        <v/>
      </c>
      <c r="H12" s="26">
        <f>COUNTIF('04 Search &amp; Availability'!F:F,"Under Review")</f>
        <v/>
      </c>
      <c r="I12" s="26">
        <f>COUNTIF('04 Search &amp; Availability'!F:F,"Not Started")</f>
        <v/>
      </c>
      <c r="J12" s="26">
        <f>F12+G12+H12+I12</f>
        <v/>
      </c>
      <c r="K12" s="27">
        <f>IF(J12=0,0,F12/J12)</f>
        <v/>
      </c>
      <c r="L12" s="14" t="inlineStr">
        <is>
          <t>Public search, car detail, availability, pricing CRUD, HOLD reserve/release/confirm, and the worker HOLD sweeper are implemented. Search UI is /fleet. Seasonal pricing and a hard DB lock against double-book are still open.</t>
        </is>
      </c>
    </row>
    <row r="13" ht="48" customHeight="1">
      <c r="A13" s="23" t="n">
        <v>9</v>
      </c>
      <c r="B13" s="23" t="inlineStr">
        <is>
          <t>05 Booking Engine</t>
        </is>
      </c>
      <c r="C13" s="23" t="inlineStr">
        <is>
          <t>booking</t>
        </is>
      </c>
      <c r="D13" s="23" t="inlineStr">
        <is>
          <t>P0</t>
        </is>
      </c>
      <c r="E13" s="24" t="inlineStr">
        <is>
          <t>In Progress</t>
        </is>
      </c>
      <c r="F13" s="23">
        <f>COUNTIF('05 Booking Engine'!F:F,"Done")</f>
        <v/>
      </c>
      <c r="G13" s="23">
        <f>COUNTIF('05 Booking Engine'!F:F,"In Progress")</f>
        <v/>
      </c>
      <c r="H13" s="23">
        <f>COUNTIF('05 Booking Engine'!F:F,"Under Review")</f>
        <v/>
      </c>
      <c r="I13" s="23">
        <f>COUNTIF('05 Booking Engine'!F:F,"Not Started")</f>
        <v/>
      </c>
      <c r="J13" s="23">
        <f>F13+G13+H13+I13</f>
        <v/>
      </c>
      <c r="K13" s="25">
        <f>IF(J13=0,0,F13/J13)</f>
        <v/>
      </c>
      <c r="L13" s="12" t="inlineStr">
        <is>
          <t>Quote → HOLD → pay → KYC → signature → CONFIRMED path is coded, with admin assign vehicle/driver and cancel. Self-drive vs with-driver branch after payment. Chauffeur product rules, policy-based cancel, and admin-created bookings are incomplete.</t>
        </is>
      </c>
    </row>
    <row r="14" ht="48" customHeight="1">
      <c r="A14" s="26" t="n">
        <v>10</v>
      </c>
      <c r="B14" s="26" t="inlineStr">
        <is>
          <t>06 Payments</t>
        </is>
      </c>
      <c r="C14" s="26" t="inlineStr">
        <is>
          <t>payment</t>
        </is>
      </c>
      <c r="D14" s="26" t="inlineStr">
        <is>
          <t>P0</t>
        </is>
      </c>
      <c r="E14" s="28" t="inlineStr">
        <is>
          <t>Under Review</t>
        </is>
      </c>
      <c r="F14" s="26">
        <f>COUNTIF('06 Payments'!F:F,"Done")</f>
        <v/>
      </c>
      <c r="G14" s="26">
        <f>COUNTIF('06 Payments'!F:F,"In Progress")</f>
        <v/>
      </c>
      <c r="H14" s="26">
        <f>COUNTIF('06 Payments'!F:F,"Under Review")</f>
        <v/>
      </c>
      <c r="I14" s="26">
        <f>COUNTIF('06 Payments'!F:F,"Not Started")</f>
        <v/>
      </c>
      <c r="J14" s="26">
        <f>F14+G14+H14+I14</f>
        <v/>
      </c>
      <c r="K14" s="27">
        <f>IF(J14=0,0,F14/J14)</f>
        <v/>
      </c>
      <c r="L14" s="14" t="inlineStr">
        <is>
          <t>Razorpay order + verify + webhook + mock mode, invoices with flat 18% GST, offline pay, refund rows, deposit flags. Live Razorpay, real refunds, state-wise GST, and deposit authorize/capture need review in staging.</t>
        </is>
      </c>
    </row>
    <row r="15" ht="48" customHeight="1">
      <c r="A15" s="23" t="n">
        <v>11</v>
      </c>
      <c r="B15" s="23" t="inlineStr">
        <is>
          <t>07 Subscription</t>
        </is>
      </c>
      <c r="C15" s="23" t="inlineStr">
        <is>
          <t>booking + catalog</t>
        </is>
      </c>
      <c r="D15" s="23" t="inlineStr">
        <is>
          <t>P2</t>
        </is>
      </c>
      <c r="E15" s="24" t="inlineStr">
        <is>
          <t>In Progress</t>
        </is>
      </c>
      <c r="F15" s="23">
        <f>COUNTIF('07 Subscription'!F:F,"Done")</f>
        <v/>
      </c>
      <c r="G15" s="23">
        <f>COUNTIF('07 Subscription'!F:F,"In Progress")</f>
        <v/>
      </c>
      <c r="H15" s="23">
        <f>COUNTIF('07 Subscription'!F:F,"Under Review")</f>
        <v/>
      </c>
      <c r="I15" s="23">
        <f>COUNTIF('07 Subscription'!F:F,"Not Started")</f>
        <v/>
      </c>
      <c r="J15" s="23">
        <f>F15+G15+H15+I15</f>
        <v/>
      </c>
      <c r="K15" s="25">
        <f>IF(J15=0,0,F15/J15)</f>
        <v/>
      </c>
      <c r="L15" s="12" t="inlineStr">
        <is>
          <t>Data model + POST /v1/subscriptions creates a SUBSCRIPTION booking from a plan. No public plans API, swap, pause, or recurring invoices. After-MVP.</t>
        </is>
      </c>
    </row>
    <row r="16" ht="48" customHeight="1">
      <c r="A16" s="26" t="n">
        <v>12</v>
      </c>
      <c r="B16" s="26" t="inlineStr">
        <is>
          <t>08 Airport &amp; Packages</t>
        </is>
      </c>
      <c r="C16" s="26" t="inlineStr">
        <is>
          <t>booking</t>
        </is>
      </c>
      <c r="D16" s="26" t="inlineStr">
        <is>
          <t>P1–P2</t>
        </is>
      </c>
      <c r="E16" s="24" t="inlineStr">
        <is>
          <t>In Progress</t>
        </is>
      </c>
      <c r="F16" s="26">
        <f>COUNTIF('08 Airport &amp; Packages'!F:F,"Done")</f>
        <v/>
      </c>
      <c r="G16" s="26">
        <f>COUNTIF('08 Airport &amp; Packages'!F:F,"In Progress")</f>
        <v/>
      </c>
      <c r="H16" s="26">
        <f>COUNTIF('08 Airport &amp; Packages'!F:F,"Under Review")</f>
        <v/>
      </c>
      <c r="I16" s="26">
        <f>COUNTIF('08 Airport &amp; Packages'!F:F,"Not Started")</f>
        <v/>
      </c>
      <c r="J16" s="26">
        <f>F16+G16+H16+I16</f>
        <v/>
      </c>
      <c r="K16" s="27">
        <f>IF(J16=0,0,F16/J16)</f>
        <v/>
      </c>
      <c r="L16" s="14" t="inlineStr">
        <is>
          <t>Tour packages and city-pair one-way rates have APIs. Quote accepts all RentalType values but pricing is still daily/hourly rules only — no terminal wait slabs, night charges, or driver allowance.</t>
        </is>
      </c>
    </row>
    <row r="17" ht="48" customHeight="1">
      <c r="A17" s="23" t="n">
        <v>13</v>
      </c>
      <c r="B17" s="23" t="inlineStr">
        <is>
          <t>09 KYC &amp; Documents</t>
        </is>
      </c>
      <c r="C17" s="23" t="inlineStr">
        <is>
          <t>document</t>
        </is>
      </c>
      <c r="D17" s="23" t="inlineStr">
        <is>
          <t>P0</t>
        </is>
      </c>
      <c r="E17" s="24" t="inlineStr">
        <is>
          <t>In Progress</t>
        </is>
      </c>
      <c r="F17" s="23">
        <f>COUNTIF('09 KYC &amp; Documents'!F:F,"Done")</f>
        <v/>
      </c>
      <c r="G17" s="23">
        <f>COUNTIF('09 KYC &amp; Documents'!F:F,"In Progress")</f>
        <v/>
      </c>
      <c r="H17" s="23">
        <f>COUNTIF('09 KYC &amp; Documents'!F:F,"Under Review")</f>
        <v/>
      </c>
      <c r="I17" s="23">
        <f>COUNTIF('09 KYC &amp; Documents'!F:F,"Not Started")</f>
        <v/>
      </c>
      <c r="J17" s="23">
        <f>F17+G17+H17+I17</f>
        <v/>
      </c>
      <c r="K17" s="25">
        <f>IF(J17=0,0,F17/J17)</f>
        <v/>
      </c>
      <c r="L17" s="12" t="inlineStr">
        <is>
          <t>Customer submit + admin approve/reject advances self-drive bookings. Zoho webhook creates a KYC case. Uploads do not issue signed Cloudinary slots. Aadhaar hashing, DL expiry rules, and 12-month reuse are not built.</t>
        </is>
      </c>
    </row>
    <row r="18" ht="48" customHeight="1">
      <c r="A18" s="26" t="n">
        <v>14</v>
      </c>
      <c r="B18" s="26" t="inlineStr">
        <is>
          <t>10 Agreement &amp; eSign</t>
        </is>
      </c>
      <c r="C18" s="26" t="inlineStr">
        <is>
          <t>document</t>
        </is>
      </c>
      <c r="D18" s="26" t="inlineStr">
        <is>
          <t>P0</t>
        </is>
      </c>
      <c r="E18" s="28" t="inlineStr">
        <is>
          <t>Under Review</t>
        </is>
      </c>
      <c r="F18" s="26">
        <f>COUNTIF('10 Agreement &amp; eSign'!F:F,"Done")</f>
        <v/>
      </c>
      <c r="G18" s="26">
        <f>COUNTIF('10 Agreement &amp; eSign'!F:F,"In Progress")</f>
        <v/>
      </c>
      <c r="H18" s="26">
        <f>COUNTIF('10 Agreement &amp; eSign'!F:F,"Under Review")</f>
        <v/>
      </c>
      <c r="I18" s="26">
        <f>COUNTIF('10 Agreement &amp; eSign'!F:F,"Not Started")</f>
        <v/>
      </c>
      <c r="J18" s="26">
        <f>F18+G18+H18+I18</f>
        <v/>
      </c>
      <c r="K18" s="27">
        <f>IF(J18=0,0,F18/J18)</f>
        <v/>
      </c>
      <c r="L18" s="14" t="inlineStr">
        <is>
          <t>HTML template render + send envelope (mock without LEEGALITY_API_KEY) + webhook/manual mark-signed advances booking to CONFIRMED. Not a real PDF yet. Vendor integration needs staging review.</t>
        </is>
      </c>
    </row>
    <row r="19" ht="48" customHeight="1">
      <c r="A19" s="23" t="n">
        <v>15</v>
      </c>
      <c r="B19" s="23" t="inlineStr">
        <is>
          <t>11 Fleet</t>
        </is>
      </c>
      <c r="C19" s="23" t="inlineStr">
        <is>
          <t>fleet</t>
        </is>
      </c>
      <c r="D19" s="23" t="inlineStr">
        <is>
          <t>P0</t>
        </is>
      </c>
      <c r="E19" s="24" t="inlineStr">
        <is>
          <t>In Progress</t>
        </is>
      </c>
      <c r="F19" s="23">
        <f>COUNTIF('11 Fleet'!F:F,"Done")</f>
        <v/>
      </c>
      <c r="G19" s="23">
        <f>COUNTIF('11 Fleet'!F:F,"In Progress")</f>
        <v/>
      </c>
      <c r="H19" s="23">
        <f>COUNTIF('11 Fleet'!F:F,"Under Review")</f>
        <v/>
      </c>
      <c r="I19" s="23">
        <f>COUNTIF('11 Fleet'!F:F,"Not Started")</f>
        <v/>
      </c>
      <c r="J19" s="23">
        <f>F19+G19+H19+I19</f>
        <v/>
      </c>
      <c r="K19" s="25">
        <f>IF(J19=0,0,F19/J19)</f>
        <v/>
      </c>
      <c r="L19" s="12" t="inlineStr">
        <is>
          <t>Cities, branches, vehicles CRUD and expiry read are live. Vehicle documents (RC/insurance/PUC) have a table but no admin CRUD. Assignment does not yet block on insurance dates.</t>
        </is>
      </c>
    </row>
    <row r="20" ht="48" customHeight="1">
      <c r="A20" s="26" t="n">
        <v>16</v>
      </c>
      <c r="B20" s="26" t="inlineStr">
        <is>
          <t>12 Maintenance</t>
        </is>
      </c>
      <c r="C20" s="26" t="inlineStr">
        <is>
          <t>fleet</t>
        </is>
      </c>
      <c r="D20" s="26" t="inlineStr">
        <is>
          <t>P2</t>
        </is>
      </c>
      <c r="E20" s="24" t="inlineStr">
        <is>
          <t>In Progress</t>
        </is>
      </c>
      <c r="F20" s="26">
        <f>COUNTIF('12 Maintenance'!F:F,"Done")</f>
        <v/>
      </c>
      <c r="G20" s="26">
        <f>COUNTIF('12 Maintenance'!F:F,"In Progress")</f>
        <v/>
      </c>
      <c r="H20" s="26">
        <f>COUNTIF('12 Maintenance'!F:F,"Under Review")</f>
        <v/>
      </c>
      <c r="I20" s="26">
        <f>COUNTIF('12 Maintenance'!F:F,"Not Started")</f>
        <v/>
      </c>
      <c r="J20" s="26">
        <f>F20+G20+H20+I20</f>
        <v/>
      </c>
      <c r="K20" s="27">
        <f>IF(J20=0,0,F20/J20)</f>
        <v/>
      </c>
      <c r="L20" s="14" t="inlineStr">
        <is>
          <t>Creating a maintenance job writes an availability block so search will not sell that car. Complete-job, parts, workshop CRUD, and admin UI are not built. After-MVP.</t>
        </is>
      </c>
    </row>
    <row r="21" ht="48" customHeight="1">
      <c r="A21" s="23" t="n">
        <v>17</v>
      </c>
      <c r="B21" s="23" t="inlineStr">
        <is>
          <t>13 Handover &amp; Return</t>
        </is>
      </c>
      <c r="C21" s="23" t="inlineStr">
        <is>
          <t>fleet</t>
        </is>
      </c>
      <c r="D21" s="23" t="inlineStr">
        <is>
          <t>P1</t>
        </is>
      </c>
      <c r="E21" s="24" t="inlineStr">
        <is>
          <t>In Progress</t>
        </is>
      </c>
      <c r="F21" s="23">
        <f>COUNTIF('13 Handover &amp; Return'!F:F,"Done")</f>
        <v/>
      </c>
      <c r="G21" s="23">
        <f>COUNTIF('13 Handover &amp; Return'!F:F,"In Progress")</f>
        <v/>
      </c>
      <c r="H21" s="23">
        <f>COUNTIF('13 Handover &amp; Return'!F:F,"Under Review")</f>
        <v/>
      </c>
      <c r="I21" s="23">
        <f>COUNTIF('13 Handover &amp; Return'!F:F,"Not Started")</f>
        <v/>
      </c>
      <c r="J21" s="23">
        <f>F21+G21+H21+I21</f>
        <v/>
      </c>
      <c r="K21" s="25">
        <f>IF(J21=0,0,F21/J21)</f>
        <v/>
      </c>
      <c r="L21" s="12" t="inlineStr">
        <is>
          <t>Minimal handover/return APIs store odometer, fuel, photos, damages and move booking ONGOING → COMPLETED. Vehicle returns to drop branch and partner ledger is posted. Deposit auto-release and full damage matrix are not done. Delivery-exec app is out of scope.</t>
        </is>
      </c>
    </row>
    <row r="22" ht="48" customHeight="1">
      <c r="A22" s="26" t="n">
        <v>18</v>
      </c>
      <c r="B22" s="26" t="inlineStr">
        <is>
          <t>14 Drivers</t>
        </is>
      </c>
      <c r="C22" s="26" t="inlineStr">
        <is>
          <t>fleet</t>
        </is>
      </c>
      <c r="D22" s="26" t="inlineStr">
        <is>
          <t>P1</t>
        </is>
      </c>
      <c r="E22" s="24" t="inlineStr">
        <is>
          <t>In Progress</t>
        </is>
      </c>
      <c r="F22" s="26">
        <f>COUNTIF('14 Drivers'!F:F,"Done")</f>
        <v/>
      </c>
      <c r="G22" s="26">
        <f>COUNTIF('14 Drivers'!F:F,"In Progress")</f>
        <v/>
      </c>
      <c r="H22" s="26">
        <f>COUNTIF('14 Drivers'!F:F,"Under Review")</f>
        <v/>
      </c>
      <c r="I22" s="26">
        <f>COUNTIF('14 Drivers'!F:F,"Not Started")</f>
        <v/>
      </c>
      <c r="J22" s="26">
        <f>F22+G22+H22+I22</f>
        <v/>
      </c>
      <c r="K22" s="27">
        <f>IF(J22=0,0,F22/J22)</f>
        <v/>
      </c>
      <c r="L22" s="14" t="inlineStr">
        <is>
          <t>Driver CRUD + assign-to-booking work. Leave, availability calendar, DL validity, and single-assignment rules are not enforced. No driver marketplace (by design).</t>
        </is>
      </c>
    </row>
    <row r="23" ht="48" customHeight="1">
      <c r="A23" s="23" t="n">
        <v>19</v>
      </c>
      <c r="B23" s="23" t="inlineStr">
        <is>
          <t>15 Partners</t>
        </is>
      </c>
      <c r="C23" s="23" t="inlineStr">
        <is>
          <t>partner</t>
        </is>
      </c>
      <c r="D23" s="23" t="inlineStr">
        <is>
          <t>P2</t>
        </is>
      </c>
      <c r="E23" s="24" t="inlineStr">
        <is>
          <t>In Progress</t>
        </is>
      </c>
      <c r="F23" s="23">
        <f>COUNTIF('15 Partners'!F:F,"Done")</f>
        <v/>
      </c>
      <c r="G23" s="23">
        <f>COUNTIF('15 Partners'!F:F,"In Progress")</f>
        <v/>
      </c>
      <c r="H23" s="23">
        <f>COUNTIF('15 Partners'!F:F,"Under Review")</f>
        <v/>
      </c>
      <c r="I23" s="23">
        <f>COUNTIF('15 Partners'!F:F,"Not Started")</f>
        <v/>
      </c>
      <c r="J23" s="23">
        <f>F23+G23+H23+I23</f>
        <v/>
      </c>
      <c r="K23" s="25">
        <f>IF(J23=0,0,F23/J23)</f>
        <v/>
      </c>
      <c r="L23" s="12" t="inlineStr">
        <is>
          <t>Admin-only partner CRUD, commission rules, ledger on trip complete, settlement generate + mark-paid. No partner portal (confirmed exclusion). Open-damage hold and frozen-at-booking commission version still missing.</t>
        </is>
      </c>
    </row>
    <row r="24" ht="48" customHeight="1">
      <c r="A24" s="26" t="n">
        <v>20</v>
      </c>
      <c r="B24" s="26" t="inlineStr">
        <is>
          <t>16 Admin &amp; Multi-city</t>
        </is>
      </c>
      <c r="C24" s="26" t="inlineStr">
        <is>
          <t>fleet + platform + apps/admin</t>
        </is>
      </c>
      <c r="D24" s="26" t="inlineStr">
        <is>
          <t>P0–P1</t>
        </is>
      </c>
      <c r="E24" s="24" t="inlineStr">
        <is>
          <t>In Progress</t>
        </is>
      </c>
      <c r="F24" s="26">
        <f>COUNTIF('16 Admin &amp; Multi-city'!F:F,"Done")</f>
        <v/>
      </c>
      <c r="G24" s="26">
        <f>COUNTIF('16 Admin &amp; Multi-city'!F:F,"In Progress")</f>
        <v/>
      </c>
      <c r="H24" s="26">
        <f>COUNTIF('16 Admin &amp; Multi-city'!F:F,"Under Review")</f>
        <v/>
      </c>
      <c r="I24" s="26">
        <f>COUNTIF('16 Admin &amp; Multi-city'!F:F,"Not Started")</f>
        <v/>
      </c>
      <c r="J24" s="26">
        <f>F24+G24+H24+I24</f>
        <v/>
      </c>
      <c r="K24" s="27">
        <f>IF(J24=0,0,F24/J24)</f>
        <v/>
      </c>
      <c r="L24" s="14" t="inlineStr">
        <is>
          <t>New ops console (port 3001) has dashboard, bookings, cars, vehicles, drivers, KYC, customers, payments, partners, leads, offers, CMS, reports. City/Branch exist on entities. StaffScope table exists but there is no assign-scope API or query filtering. Old admin UI still lives inside apps/web /admin.</t>
        </is>
      </c>
    </row>
    <row r="25" ht="48" customHeight="1">
      <c r="A25" s="23" t="n">
        <v>21</v>
      </c>
      <c r="B25" s="23" t="inlineStr">
        <is>
          <t>17 Finance &amp; Reports</t>
        </is>
      </c>
      <c r="C25" s="23" t="inlineStr">
        <is>
          <t>platform + payment</t>
        </is>
      </c>
      <c r="D25" s="23" t="inlineStr">
        <is>
          <t>P2</t>
        </is>
      </c>
      <c r="E25" s="24" t="inlineStr">
        <is>
          <t>In Progress</t>
        </is>
      </c>
      <c r="F25" s="23">
        <f>COUNTIF('17 Finance &amp; Reports'!F:F,"Done")</f>
        <v/>
      </c>
      <c r="G25" s="23">
        <f>COUNTIF('17 Finance &amp; Reports'!F:F,"In Progress")</f>
        <v/>
      </c>
      <c r="H25" s="23">
        <f>COUNTIF('17 Finance &amp; Reports'!F:F,"Under Review")</f>
        <v/>
      </c>
      <c r="I25" s="23">
        <f>COUNTIF('17 Finance &amp; Reports'!F:F,"Not Started")</f>
        <v/>
      </c>
      <c r="J25" s="23">
        <f>F25+G25+H25+I25</f>
        <v/>
      </c>
      <c r="K25" s="25">
        <f>IF(J25=0,0,F25/J25)</f>
        <v/>
      </c>
      <c r="L25" s="12" t="inlineStr">
        <is>
          <t>Basic revenue + GST report endpoints and an admin reports page. No CSV export, deposit/partner reports, or Razorpay recon queue. GST is a flat 18% on invoice create.</t>
        </is>
      </c>
    </row>
    <row r="26" ht="48" customHeight="1">
      <c r="A26" s="26" t="n">
        <v>22</v>
      </c>
      <c r="B26" s="26" t="inlineStr">
        <is>
          <t>18 Offers &amp; Wallet</t>
        </is>
      </c>
      <c r="C26" s="26" t="inlineStr">
        <is>
          <t>platform + payment + booking</t>
        </is>
      </c>
      <c r="D26" s="26" t="inlineStr">
        <is>
          <t>P1–P2</t>
        </is>
      </c>
      <c r="E26" s="24" t="inlineStr">
        <is>
          <t>In Progress</t>
        </is>
      </c>
      <c r="F26" s="26">
        <f>COUNTIF('18 Offers &amp; Wallet'!F:F,"Done")</f>
        <v/>
      </c>
      <c r="G26" s="26">
        <f>COUNTIF('18 Offers &amp; Wallet'!F:F,"In Progress")</f>
        <v/>
      </c>
      <c r="H26" s="26">
        <f>COUNTIF('18 Offers &amp; Wallet'!F:F,"Under Review")</f>
        <v/>
      </c>
      <c r="I26" s="26">
        <f>COUNTIF('18 Offers &amp; Wallet'!F:F,"Not Started")</f>
        <v/>
      </c>
      <c r="J26" s="26">
        <f>F26+G26+H26+I26</f>
        <v/>
      </c>
      <c r="K26" s="27">
        <f>IF(J26=0,0,F26/J26)</f>
        <v/>
      </c>
      <c r="L26" s="14" t="inlineStr">
        <is>
          <t>Coupon apply on quote is real (window, max redemptions, one per user). Admin can create offers. Wallet/loyalty rows are created at signup but earn/redeem/referral are not. P1 = coupons; P2 = wallet/loyalty.</t>
        </is>
      </c>
    </row>
    <row r="27" ht="48" customHeight="1">
      <c r="A27" s="23" t="n">
        <v>23</v>
      </c>
      <c r="B27" s="23" t="inlineStr">
        <is>
          <t>19 Reviews &amp; Support</t>
        </is>
      </c>
      <c r="C27" s="23" t="inlineStr">
        <is>
          <t>platform</t>
        </is>
      </c>
      <c r="D27" s="23" t="inlineStr">
        <is>
          <t>P2</t>
        </is>
      </c>
      <c r="E27" s="24" t="inlineStr">
        <is>
          <t>In Progress</t>
        </is>
      </c>
      <c r="F27" s="23">
        <f>COUNTIF('19 Reviews &amp; Support'!F:F,"Done")</f>
        <v/>
      </c>
      <c r="G27" s="23">
        <f>COUNTIF('19 Reviews &amp; Support'!F:F,"In Progress")</f>
        <v/>
      </c>
      <c r="H27" s="23">
        <f>COUNTIF('19 Reviews &amp; Support'!F:F,"Under Review")</f>
        <v/>
      </c>
      <c r="I27" s="23">
        <f>COUNTIF('19 Reviews &amp; Support'!F:F,"Not Started")</f>
        <v/>
      </c>
      <c r="J27" s="23">
        <f>F27+G27+H27+I27</f>
        <v/>
      </c>
      <c r="K27" s="25">
        <f>IF(J27=0,0,F27/J27)</f>
        <v/>
      </c>
      <c r="L27" s="12" t="inlineStr">
        <is>
          <t>Customers can create a review (unpublished) and a ticket. Admin can list both. No moderate/publish, public car reviews, ticket assign/SLA, or customer ticket UI.</t>
        </is>
      </c>
    </row>
    <row r="28" ht="48" customHeight="1">
      <c r="A28" s="26" t="n">
        <v>24</v>
      </c>
      <c r="B28" s="26" t="inlineStr">
        <is>
          <t>20 Notifications</t>
        </is>
      </c>
      <c r="C28" s="26" t="inlineStr">
        <is>
          <t>notification + worker</t>
        </is>
      </c>
      <c r="D28" s="26" t="inlineStr">
        <is>
          <t>P0</t>
        </is>
      </c>
      <c r="E28" s="28" t="inlineStr">
        <is>
          <t>Under Review</t>
        </is>
      </c>
      <c r="F28" s="26">
        <f>COUNTIF('20 Notifications'!F:F,"Done")</f>
        <v/>
      </c>
      <c r="G28" s="26">
        <f>COUNTIF('20 Notifications'!F:F,"In Progress")</f>
        <v/>
      </c>
      <c r="H28" s="26">
        <f>COUNTIF('20 Notifications'!F:F,"Under Review")</f>
        <v/>
      </c>
      <c r="I28" s="26">
        <f>COUNTIF('20 Notifications'!F:F,"Not Started")</f>
        <v/>
      </c>
      <c r="J28" s="26">
        <f>F28+G28+H28+I28</f>
        <v/>
      </c>
      <c r="K28" s="27">
        <f>IF(J28=0,0,F28/J28)</f>
        <v/>
      </c>
      <c r="L28" s="14" t="inlineStr">
        <is>
          <t>Internal notify + templates + logs + retry cron. Gmail OAuth/app-password when env is set; otherwise console mock. OTP and booking_confirmed are wired. SMS/WhatsApp later. Staging review once Gmail env is present.</t>
        </is>
      </c>
    </row>
    <row r="29" ht="48" customHeight="1">
      <c r="A29" s="23" t="n">
        <v>25</v>
      </c>
      <c r="B29" s="23" t="inlineStr">
        <is>
          <t>21 CRM &amp; Leads</t>
        </is>
      </c>
      <c r="C29" s="23" t="inlineStr">
        <is>
          <t>platform</t>
        </is>
      </c>
      <c r="D29" s="23" t="inlineStr">
        <is>
          <t>P1</t>
        </is>
      </c>
      <c r="E29" s="24" t="inlineStr">
        <is>
          <t>In Progress</t>
        </is>
      </c>
      <c r="F29" s="23">
        <f>COUNTIF('21 CRM &amp; Leads'!F:F,"Done")</f>
        <v/>
      </c>
      <c r="G29" s="23">
        <f>COUNTIF('21 CRM &amp; Leads'!F:F,"In Progress")</f>
        <v/>
      </c>
      <c r="H29" s="23">
        <f>COUNTIF('21 CRM &amp; Leads'!F:F,"Under Review")</f>
        <v/>
      </c>
      <c r="I29" s="23">
        <f>COUNTIF('21 CRM &amp; Leads'!F:F,"Not Started")</f>
        <v/>
      </c>
      <c r="J29" s="23">
        <f>F29+G29+H29+I29</f>
        <v/>
      </c>
      <c r="K29" s="25">
        <f>IF(J29=0,0,F29/J29)</f>
        <v/>
      </c>
      <c r="L29" s="12" t="inlineStr">
        <is>
          <t>Contact and public lead APIs + admin pipeline (NEW→LOST) + notes. Convert-to-booking and 7-day dedupe are not built. Admin /leads page exists.</t>
        </is>
      </c>
    </row>
    <row r="30" ht="48" customHeight="1">
      <c r="A30" s="26" t="n">
        <v>26</v>
      </c>
      <c r="B30" s="26" t="inlineStr">
        <is>
          <t>22 Mobile</t>
        </is>
      </c>
      <c r="C30" s="26" t="inlineStr">
        <is>
          <t>apps/mobile</t>
        </is>
      </c>
      <c r="D30" s="26" t="inlineStr">
        <is>
          <t>P2</t>
        </is>
      </c>
      <c r="E30" s="24" t="inlineStr">
        <is>
          <t>In Progress</t>
        </is>
      </c>
      <c r="F30" s="26">
        <f>COUNTIF('22 Mobile'!F:F,"Done")</f>
        <v/>
      </c>
      <c r="G30" s="26">
        <f>COUNTIF('22 Mobile'!F:F,"In Progress")</f>
        <v/>
      </c>
      <c r="H30" s="26">
        <f>COUNTIF('22 Mobile'!F:F,"Under Review")</f>
        <v/>
      </c>
      <c r="I30" s="26">
        <f>COUNTIF('22 Mobile'!F:F,"Not Started")</f>
        <v/>
      </c>
      <c r="J30" s="26">
        <f>F30+G30+H30+I30</f>
        <v/>
      </c>
      <c r="K30" s="27">
        <f>IF(J30=0,0,F30/J30)</f>
        <v/>
      </c>
      <c r="L30" s="14" t="inlineStr">
        <is>
          <t>Expo package with a single-screen prototype: dev sign-in, public car list, my bookings. No OTP, checkout, Razorpay, KYC, tracking, tickets, or store build. Spec: do not invest until web checkout is stable.</t>
        </is>
      </c>
    </row>
    <row r="31">
      <c r="B31" s="3" t="inlineStr">
        <is>
          <t>TOTAL</t>
        </is>
      </c>
      <c r="F31" s="29">
        <f>SUM(F5:F30)</f>
        <v/>
      </c>
      <c r="G31" s="29">
        <f>SUM(G5:G30)</f>
        <v/>
      </c>
      <c r="H31" s="29">
        <f>SUM(H5:H30)</f>
        <v/>
      </c>
      <c r="I31" s="29">
        <f>SUM(I5:I30)</f>
        <v/>
      </c>
      <c r="J31" s="29">
        <f>SUM(J5:J30)</f>
        <v/>
      </c>
      <c r="K31" s="30">
        <f>IF(J31=0,0,F31/J31)</f>
        <v/>
      </c>
    </row>
    <row r="33">
      <c r="A33" s="3" t="inlineStr">
        <is>
          <t>Status rollup (all items)</t>
        </is>
      </c>
    </row>
    <row r="34">
      <c r="A34" s="4" t="inlineStr">
        <is>
          <t>Status</t>
        </is>
      </c>
      <c r="B34" s="4" t="inlineStr">
        <is>
          <t>Count</t>
        </is>
      </c>
    </row>
    <row r="35">
      <c r="A35" s="5" t="inlineStr">
        <is>
          <t>Done</t>
        </is>
      </c>
      <c r="B35">
        <f>F31</f>
        <v/>
      </c>
    </row>
    <row r="36">
      <c r="A36" s="6" t="inlineStr">
        <is>
          <t>In Progress</t>
        </is>
      </c>
      <c r="B36">
        <f>G31</f>
        <v/>
      </c>
    </row>
    <row r="37">
      <c r="A37" s="7" t="inlineStr">
        <is>
          <t>Under Review</t>
        </is>
      </c>
      <c r="B37">
        <f>H31</f>
        <v/>
      </c>
    </row>
    <row r="38">
      <c r="A38" s="8" t="inlineStr">
        <is>
          <t>Not Started</t>
        </is>
      </c>
      <c r="B38">
        <f>I31</f>
        <v/>
      </c>
    </row>
  </sheetData>
  <autoFilter ref="A4:L4"/>
  <mergeCells count="2">
    <mergeCell ref="A2:L2"/>
    <mergeCell ref="A1:L1"/>
  </mergeCells>
  <dataValidations count="1">
    <dataValidation sqref="E5:E30" showDropDown="0" showInputMessage="0" showErrorMessage="0" allowBlank="0" type="list">
      <formula1>"Done,In Progress,Under Review,Not Started"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01 — Auth &amp; security baseline</t>
        </is>
      </c>
    </row>
    <row r="2">
      <c r="A2" s="9" t="inlineStr">
        <is>
          <t>Service: identity (apps/api)    |    Priority: P0    |    Overall status: In Progress</t>
        </is>
      </c>
    </row>
    <row r="3" ht="48" customHeight="1">
      <c r="A3" s="10" t="inlineStr">
        <is>
          <t>Firebase + Postgres user sync, OTP, roles, and audit exist. OTP is in-memory (not Redis). Google login and last-super-admin lock are not built. Staff city/branch scope is stored but not fully enforced on every list.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01.01</t>
        </is>
      </c>
      <c r="B5" s="12" t="inlineStr">
        <is>
          <t>Firebase ID token verification</t>
        </is>
      </c>
      <c r="C5" s="12" t="inlineStr">
        <is>
          <t>Backend</t>
        </is>
      </c>
      <c r="D5" s="12" t="inlineStr">
        <is>
          <t>API verifies Firebase ID tokens with firebase-admin when FIREBASE_PROJECT_ID is set; otherwise token resolve returns null.</t>
        </is>
      </c>
      <c r="E5" s="12" t="inlineStr">
        <is>
          <t>apps/api/src/auth.middleware.ts → verifyFirebase</t>
        </is>
      </c>
      <c r="F5" s="31" t="inlineStr">
        <is>
          <t>Under Review</t>
        </is>
      </c>
      <c r="G5" s="12" t="inlineStr">
        <is>
          <t>P0</t>
        </is>
      </c>
      <c r="H5" s="12" t="inlineStr">
        <is>
          <t>Needs staging check with live Firebase project keys.</t>
        </is>
      </c>
    </row>
    <row r="6" ht="42" customHeight="1">
      <c r="A6" s="14" t="inlineStr">
        <is>
          <t>01.02</t>
        </is>
      </c>
      <c r="B6" s="14" t="inlineStr">
        <is>
          <t>Dev auth bypass (local)</t>
        </is>
      </c>
      <c r="C6" s="14" t="inlineStr">
        <is>
          <t>Backend</t>
        </is>
      </c>
      <c r="D6" s="14" t="inlineStr">
        <is>
          <t>Bearer dev:email upserts a user and is allowed unless DEV_AUTH_BYPASS=false.</t>
        </is>
      </c>
      <c r="E6" s="14" t="inlineStr">
        <is>
          <t>auth.middleware.ts resolveUser</t>
        </is>
      </c>
      <c r="F6" s="32" t="inlineStr">
        <is>
          <t>Done</t>
        </is>
      </c>
      <c r="G6" s="14" t="inlineStr">
        <is>
          <t>P0</t>
        </is>
      </c>
      <c r="H6" s="14" t="inlineStr">
        <is>
          <t>Must stay off in production.</t>
        </is>
      </c>
    </row>
    <row r="7" ht="42" customHeight="1">
      <c r="A7" s="12" t="inlineStr">
        <is>
          <t>01.03</t>
        </is>
      </c>
      <c r="B7" s="12" t="inlineStr">
        <is>
          <t>Auth sync into PostgreSQL</t>
        </is>
      </c>
      <c r="C7" s="12" t="inlineStr">
        <is>
          <t>Customer / Backend</t>
        </is>
      </c>
      <c r="D7" s="12" t="inlineStr">
        <is>
          <t>POST /v1/auth/sync upserts User + CustomerProfile + CUSTOMER role + empty wallet/loyalty.</t>
        </is>
      </c>
      <c r="E7" s="12" t="inlineStr">
        <is>
          <t>POST /v1/auth/sync · identity.service.ts upsertFromIdentity</t>
        </is>
      </c>
      <c r="F7" s="32" t="inlineStr">
        <is>
          <t>Done</t>
        </is>
      </c>
      <c r="G7" s="12" t="inlineStr">
        <is>
          <t>P0</t>
        </is>
      </c>
      <c r="H7" s="12" t="inlineStr">
        <is>
          <t>Gateway leftover service is unused; monolith API does this itself.</t>
        </is>
      </c>
    </row>
    <row r="8" ht="42" customHeight="1">
      <c r="A8" s="14" t="inlineStr">
        <is>
          <t>01.04</t>
        </is>
      </c>
      <c r="B8" s="14" t="inlineStr">
        <is>
          <t>Email OTP send</t>
        </is>
      </c>
      <c r="C8" s="14" t="inlineStr">
        <is>
          <t>Customer</t>
        </is>
      </c>
      <c r="D8" s="14" t="inlineStr">
        <is>
          <t>POST /v1/auth/otp/send issues a 5-min code (in-memory Map) and calls notification service. Dev returns devCode.</t>
        </is>
      </c>
      <c r="E8" s="14" t="inlineStr">
        <is>
          <t>POST /v1/auth/otp/send</t>
        </is>
      </c>
      <c r="F8" s="13" t="inlineStr">
        <is>
          <t>In Progress</t>
        </is>
      </c>
      <c r="G8" s="14" t="inlineStr">
        <is>
          <t>P0</t>
        </is>
      </c>
      <c r="H8" s="14" t="inlineStr">
        <is>
          <t>Replace Map with Redis; production must not expose devCode.</t>
        </is>
      </c>
    </row>
    <row r="9" ht="42" customHeight="1">
      <c r="A9" s="12" t="inlineStr">
        <is>
          <t>01.05</t>
        </is>
      </c>
      <c r="B9" s="12" t="inlineStr">
        <is>
          <t>Email OTP verify</t>
        </is>
      </c>
      <c r="C9" s="12" t="inlineStr">
        <is>
          <t>Customer</t>
        </is>
      </c>
      <c r="D9" s="12" t="inlineStr">
        <is>
          <t>POST /v1/auth/otp/verify checks in-memory store.</t>
        </is>
      </c>
      <c r="E9" s="12" t="inlineStr">
        <is>
          <t>POST /v1/auth/otp/verify</t>
        </is>
      </c>
      <c r="F9" s="13" t="inlineStr">
        <is>
          <t>In Progress</t>
        </is>
      </c>
      <c r="G9" s="12" t="inlineStr">
        <is>
          <t>P0</t>
        </is>
      </c>
      <c r="H9" s="12" t="inlineStr">
        <is>
          <t>No session mint beyond Firebase; OTP is email-verify helper only.</t>
        </is>
      </c>
    </row>
    <row r="10" ht="42" customHeight="1">
      <c r="A10" s="14" t="inlineStr">
        <is>
          <t>01.06</t>
        </is>
      </c>
      <c r="B10" s="14" t="inlineStr">
        <is>
          <t>OTP rate limit</t>
        </is>
      </c>
      <c r="C10" s="14" t="inlineStr">
        <is>
          <t>Backend</t>
        </is>
      </c>
      <c r="D10" s="14" t="inlineStr">
        <is>
          <t>8 requests / 15 minutes per IP on /v1/auth/otp/send.</t>
        </is>
      </c>
      <c r="E10" s="14" t="inlineStr">
        <is>
          <t>auth.middleware.ts rateLimitOtp</t>
        </is>
      </c>
      <c r="F10" s="32" t="inlineStr">
        <is>
          <t>Done</t>
        </is>
      </c>
      <c r="G10" s="14" t="inlineStr">
        <is>
          <t>P0</t>
        </is>
      </c>
      <c r="H10" s="14" t="inlineStr">
        <is>
          <t>Raise to documented 3/15 min if product wants stricter.</t>
        </is>
      </c>
    </row>
    <row r="11" ht="42" customHeight="1">
      <c r="A11" s="12" t="inlineStr">
        <is>
          <t>01.07</t>
        </is>
      </c>
      <c r="B11" s="12" t="inlineStr">
        <is>
          <t>Current user profile</t>
        </is>
      </c>
      <c r="C11" s="12" t="inlineStr">
        <is>
          <t>Customer</t>
        </is>
      </c>
      <c r="D11" s="12" t="inlineStr">
        <is>
          <t>GET /v1/me and PATCH /v1/me (name, phone, address JSON).</t>
        </is>
      </c>
      <c r="E11" s="12" t="inlineStr">
        <is>
          <t>GET/PATCH /v1/me</t>
        </is>
      </c>
      <c r="F11" s="32" t="inlineStr">
        <is>
          <t>Done</t>
        </is>
      </c>
      <c r="G11" s="12" t="inlineStr">
        <is>
          <t>P0</t>
        </is>
      </c>
      <c r="H11" s="12" t="inlineStr">
        <is>
          <t>Phone change does not re-trigger OTP yet.</t>
        </is>
      </c>
    </row>
    <row r="12" ht="42" customHeight="1">
      <c r="A12" s="14" t="inlineStr">
        <is>
          <t>01.08</t>
        </is>
      </c>
      <c r="B12" s="14" t="inlineStr">
        <is>
          <t>FCM / device token register</t>
        </is>
      </c>
      <c r="C12" s="14" t="inlineStr">
        <is>
          <t>Mobile / Web</t>
        </is>
      </c>
      <c r="D12" s="14" t="inlineStr">
        <is>
          <t>POST /v1/me/devices stores DeviceToken.</t>
        </is>
      </c>
      <c r="E12" s="14" t="inlineStr">
        <is>
          <t>POST /v1/me/devices</t>
        </is>
      </c>
      <c r="F12" s="32" t="inlineStr">
        <is>
          <t>Done</t>
        </is>
      </c>
      <c r="G12" s="14" t="inlineStr">
        <is>
          <t>P2</t>
        </is>
      </c>
      <c r="H12" s="14" t="inlineStr">
        <is>
          <t>Mobile app does not call this yet.</t>
        </is>
      </c>
    </row>
    <row r="13" ht="42" customHeight="1">
      <c r="A13" s="12" t="inlineStr">
        <is>
          <t>01.09</t>
        </is>
      </c>
      <c r="B13" s="12" t="inlineStr">
        <is>
          <t>Admin user search</t>
        </is>
      </c>
      <c r="C13" s="12" t="inlineStr">
        <is>
          <t>Admin</t>
        </is>
      </c>
      <c r="D13" s="12" t="inlineStr">
        <is>
          <t>GET /v1/admin/users?q= for SUPPORT/SALES/CITY_MANAGER/SUPER_ADMIN.</t>
        </is>
      </c>
      <c r="E13" s="12" t="inlineStr">
        <is>
          <t>GET /v1/admin/users · admin /customers</t>
        </is>
      </c>
      <c r="F13" s="32" t="inlineStr">
        <is>
          <t>Done</t>
        </is>
      </c>
      <c r="G13" s="12" t="inlineStr">
        <is>
          <t>P0</t>
        </is>
      </c>
      <c r="H13" s="12" t="inlineStr">
        <is>
          <t>No pagination beyond simple query.</t>
        </is>
      </c>
    </row>
    <row r="14" ht="42" customHeight="1">
      <c r="A14" s="14" t="inlineStr">
        <is>
          <t>01.10</t>
        </is>
      </c>
      <c r="B14" s="14" t="inlineStr">
        <is>
          <t>Assign staff roles</t>
        </is>
      </c>
      <c r="C14" s="14" t="inlineStr">
        <is>
          <t>Admin</t>
        </is>
      </c>
      <c r="D14" s="14" t="inlineStr">
        <is>
          <t>PATCH /v1/admin/users/:id/roles (SUPER_ADMIN).</t>
        </is>
      </c>
      <c r="E14" s="14" t="inlineStr">
        <is>
          <t>PATCH /v1/admin/users/:id/roles</t>
        </is>
      </c>
      <c r="F14" s="32" t="inlineStr">
        <is>
          <t>Done</t>
        </is>
      </c>
      <c r="G14" s="14" t="inlineStr">
        <is>
          <t>P0</t>
        </is>
      </c>
      <c r="H14" s="14" t="inlineStr">
        <is>
          <t>Last remaining SUPER_ADMIN cannot be removed — not coded.</t>
        </is>
      </c>
    </row>
    <row r="15" ht="42" customHeight="1">
      <c r="A15" s="12" t="inlineStr">
        <is>
          <t>01.11</t>
        </is>
      </c>
      <c r="B15" s="12" t="inlineStr">
        <is>
          <t>Disable user</t>
        </is>
      </c>
      <c r="C15" s="12" t="inlineStr">
        <is>
          <t>Admin</t>
        </is>
      </c>
      <c r="D15" s="12" t="inlineStr">
        <is>
          <t>POST /v1/admin/users/:id/disable.</t>
        </is>
      </c>
      <c r="E15" s="12" t="inlineStr">
        <is>
          <t>POST /v1/admin/users/:id/disable</t>
        </is>
      </c>
      <c r="F15" s="32" t="inlineStr">
        <is>
          <t>Done</t>
        </is>
      </c>
      <c r="G15" s="12" t="inlineStr">
        <is>
          <t>P0</t>
        </is>
      </c>
      <c r="H15" s="12" t="inlineStr"/>
    </row>
    <row r="16" ht="42" customHeight="1">
      <c r="A16" s="14" t="inlineStr">
        <is>
          <t>01.12</t>
        </is>
      </c>
      <c r="B16" s="14" t="inlineStr">
        <is>
          <t>Audit log</t>
        </is>
      </c>
      <c r="C16" s="14" t="inlineStr">
        <is>
          <t>Admin</t>
        </is>
      </c>
      <c r="D16" s="14" t="inlineStr">
        <is>
          <t>GET /v1/admin/audit. Writes happen on auth.sync, role change, disable, offline payment.</t>
        </is>
      </c>
      <c r="E16" s="14" t="inlineStr">
        <is>
          <t>GET /v1/admin/audit · AuditLog model</t>
        </is>
      </c>
      <c r="F16" s="13" t="inlineStr">
        <is>
          <t>In Progress</t>
        </is>
      </c>
      <c r="G16" s="14" t="inlineStr">
        <is>
          <t>P0</t>
        </is>
      </c>
      <c r="H16" s="14" t="inlineStr">
        <is>
          <t>Not every privileged write is audited (refunds, KYC decision, status moves).</t>
        </is>
      </c>
    </row>
    <row r="17" ht="42" customHeight="1">
      <c r="A17" s="12" t="inlineStr">
        <is>
          <t>01.13</t>
        </is>
      </c>
      <c r="B17" s="12" t="inlineStr">
        <is>
          <t>RBAC helpers</t>
        </is>
      </c>
      <c r="C17" s="12" t="inlineStr">
        <is>
          <t>Backend</t>
        </is>
      </c>
      <c r="D17" s="12" t="inlineStr">
        <is>
          <t>requireRoles / requireStaff / assertInternal / assertOwnerOrStaff. SUPER_ADMIN bypasses role checks.</t>
        </is>
      </c>
      <c r="E17" s="12" t="inlineStr">
        <is>
          <t>apps/api/src/lib/auth.ts</t>
        </is>
      </c>
      <c r="F17" s="32" t="inlineStr">
        <is>
          <t>Done</t>
        </is>
      </c>
      <c r="G17" s="12" t="inlineStr">
        <is>
          <t>P0</t>
        </is>
      </c>
      <c r="H17" s="12" t="inlineStr">
        <is>
          <t>StaffScope (city/branch) is not applied as a query filter.</t>
        </is>
      </c>
    </row>
    <row r="18" ht="42" customHeight="1">
      <c r="A18" s="14" t="inlineStr">
        <is>
          <t>01.14</t>
        </is>
      </c>
      <c r="B18" s="14" t="inlineStr">
        <is>
          <t>Public vs authed routes</t>
        </is>
      </c>
      <c r="C18" s="14" t="inlineStr">
        <is>
          <t>Backend</t>
        </is>
      </c>
      <c r="D18" s="14" t="inlineStr">
        <is>
          <t>Public: /v1/public/*, OTP, webhooks. Other /v1 requires Bearer.</t>
        </is>
      </c>
      <c r="E18" s="14" t="inlineStr">
        <is>
          <t>auth.middleware.ts PUBLIC</t>
        </is>
      </c>
      <c r="F18" s="32" t="inlineStr">
        <is>
          <t>Done</t>
        </is>
      </c>
      <c r="G18" s="14" t="inlineStr">
        <is>
          <t>P0</t>
        </is>
      </c>
      <c r="H18" s="14" t="inlineStr">
        <is>
          <t>Internal routes live at /internal/* (not /v1/internal).</t>
        </is>
      </c>
    </row>
    <row r="19" ht="42" customHeight="1">
      <c r="A19" s="12" t="inlineStr">
        <is>
          <t>01.15</t>
        </is>
      </c>
      <c r="B19" s="12" t="inlineStr">
        <is>
          <t>Web login</t>
        </is>
      </c>
      <c r="C19" s="12" t="inlineStr">
        <is>
          <t>Customer</t>
        </is>
      </c>
      <c r="D19" s="12" t="inlineStr">
        <is>
          <t>New login page uses Firebase/dev token via AuthContext.</t>
        </is>
      </c>
      <c r="E19" s="12" t="inlineStr">
        <is>
          <t>apps/web/src/ms/pages/Login.jsx · AuthContext.jsx</t>
        </is>
      </c>
      <c r="F19" s="13" t="inlineStr">
        <is>
          <t>In Progress</t>
        </is>
      </c>
      <c r="G19" s="12" t="inlineStr">
        <is>
          <t>P0</t>
        </is>
      </c>
      <c r="H19" s="12" t="inlineStr">
        <is>
          <t>Google social login not started.</t>
        </is>
      </c>
    </row>
    <row r="20" ht="42" customHeight="1">
      <c r="A20" s="14" t="inlineStr">
        <is>
          <t>01.16</t>
        </is>
      </c>
      <c r="B20" s="14" t="inlineStr">
        <is>
          <t>Admin login</t>
        </is>
      </c>
      <c r="C20" s="14" t="inlineStr">
        <is>
          <t>Admin</t>
        </is>
      </c>
      <c r="D20" s="14" t="inlineStr">
        <is>
          <t>apps/admin login stores dd_token and calls API.</t>
        </is>
      </c>
      <c r="E20" s="14" t="inlineStr">
        <is>
          <t>apps/admin/app/login/page.jsx</t>
        </is>
      </c>
      <c r="F20" s="13" t="inlineStr">
        <is>
          <t>In Progress</t>
        </is>
      </c>
      <c r="G20" s="14" t="inlineStr">
        <is>
          <t>P0</t>
        </is>
      </c>
      <c r="H20" s="14" t="inlineStr">
        <is>
          <t>Uses same Bearer scheme; polish UX later.</t>
        </is>
      </c>
    </row>
    <row r="21" ht="42" customHeight="1">
      <c r="A21" s="12" t="inlineStr">
        <is>
          <t>01.17</t>
        </is>
      </c>
      <c r="B21" s="12" t="inlineStr">
        <is>
          <t>Google / social login</t>
        </is>
      </c>
      <c r="C21" s="12" t="inlineStr">
        <is>
          <t>Customer</t>
        </is>
      </c>
      <c r="D21" s="12" t="inlineStr">
        <is>
          <t>Documented as later; no provider wiring.</t>
        </is>
      </c>
      <c r="E21" s="12" t="inlineStr">
        <is>
          <t>docs/modules/01-auth-security.md</t>
        </is>
      </c>
      <c r="F21" s="15" t="inlineStr">
        <is>
          <t>Not Started</t>
        </is>
      </c>
      <c r="G21" s="12" t="inlineStr">
        <is>
          <t>P2</t>
        </is>
      </c>
      <c r="H21" s="12" t="inlineStr">
        <is>
          <t>Add Firebase Google provider after email path is stable.</t>
        </is>
      </c>
    </row>
    <row r="23">
      <c r="A23" s="3" t="inlineStr">
        <is>
          <t>Counts</t>
        </is>
      </c>
      <c r="B23" s="16" t="inlineStr">
        <is>
          <t>Done</t>
        </is>
      </c>
      <c r="C23" s="9" t="inlineStr">
        <is>
          <t>In Progress</t>
        </is>
      </c>
      <c r="D23" s="17" t="inlineStr">
        <is>
          <t>Under Review</t>
        </is>
      </c>
      <c r="E23" s="18" t="inlineStr">
        <is>
          <t>Not Started</t>
        </is>
      </c>
    </row>
    <row r="24">
      <c r="B24" s="19">
        <f>COUNTIF(F5:F21,"Done")</f>
        <v/>
      </c>
      <c r="C24" s="20">
        <f>COUNTIF(F5:F21,"In Progress")</f>
        <v/>
      </c>
      <c r="D24" s="21">
        <f>COUNTIF(F5:F21,"Under Review")</f>
        <v/>
      </c>
      <c r="E24" s="22">
        <f>COUNTIF(F5:F21,"Not Started")</f>
        <v/>
      </c>
    </row>
  </sheetData>
  <autoFilter ref="A4:H21"/>
  <mergeCells count="3">
    <mergeCell ref="A3:H3"/>
    <mergeCell ref="A2:H2"/>
    <mergeCell ref="A1:H1"/>
  </mergeCells>
  <dataValidations count="1">
    <dataValidation sqref="F5:F21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02 — Public website &amp; CMS</t>
        </is>
      </c>
    </row>
    <row r="2">
      <c r="A2" s="9" t="inlineStr">
        <is>
          <t>Service: platform + apps/web    |    Priority: P1    |    Overall status: In Progress</t>
        </is>
      </c>
    </row>
    <row r="3" ht="48" customHeight="1">
      <c r="A3" s="10" t="inlineStr">
        <is>
          <t>Ported marketing site still runs in Next.js (home, blogs, monsoon bar). New CMS APIs exist for pages, banners, blogs, contact. Admin CMS page is a first version. Testimonials/comments still largely on the old UI.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02.01</t>
        </is>
      </c>
      <c r="B5" s="12" t="inlineStr">
        <is>
          <t>Marketing home</t>
        </is>
      </c>
      <c r="C5" s="12" t="inlineStr">
        <is>
          <t>Customer</t>
        </is>
      </c>
      <c r="D5" s="12" t="inlineStr">
        <is>
          <t>Ported Home + hero + why-us + fleet teaser + monsoon promo bar (still hardcoded CSS/content).</t>
        </is>
      </c>
      <c r="E5" s="12" t="inlineStr">
        <is>
          <t>apps/web/src/components/home/Home.jsx · MonsoonPromoBar.jsx</t>
        </is>
      </c>
      <c r="F5" s="13" t="inlineStr">
        <is>
          <t>In Progress</t>
        </is>
      </c>
      <c r="G5" s="12" t="inlineStr">
        <is>
          <t>P1</t>
        </is>
      </c>
      <c r="H5" s="12" t="inlineStr">
        <is>
          <t>Drive strips/banners from GET /v1/public/banners.</t>
        </is>
      </c>
    </row>
    <row r="6" ht="42" customHeight="1">
      <c r="A6" s="14" t="inlineStr">
        <is>
          <t>02.02</t>
        </is>
      </c>
      <c r="B6" s="14" t="inlineStr">
        <is>
          <t>Public CMS pages</t>
        </is>
      </c>
      <c r="C6" s="14" t="inlineStr">
        <is>
          <t>Customer</t>
        </is>
      </c>
      <c r="D6" s="14" t="inlineStr">
        <is>
          <t>GET /v1/public/pages/:slug returns published CmsPage.</t>
        </is>
      </c>
      <c r="E6" s="14" t="inlineStr">
        <is>
          <t>GET /v1/public/pages/:slug</t>
        </is>
      </c>
      <c r="F6" s="32" t="inlineStr">
        <is>
          <t>Done</t>
        </is>
      </c>
      <c r="G6" s="14" t="inlineStr">
        <is>
          <t>P1</t>
        </is>
      </c>
      <c r="H6" s="14" t="inlineStr">
        <is>
          <t>Web legal pages still static TermsAndConditions, not CMS-driven.</t>
        </is>
      </c>
    </row>
    <row r="7" ht="42" customHeight="1">
      <c r="A7" s="12" t="inlineStr">
        <is>
          <t>02.03</t>
        </is>
      </c>
      <c r="B7" s="12" t="inlineStr">
        <is>
          <t>Public banners</t>
        </is>
      </c>
      <c r="C7" s="12" t="inlineStr">
        <is>
          <t>Customer</t>
        </is>
      </c>
      <c r="D7" s="12" t="inlineStr">
        <is>
          <t>GET /v1/public/banners respects active + date window.</t>
        </is>
      </c>
      <c r="E7" s="12" t="inlineStr">
        <is>
          <t>GET /v1/public/banners</t>
        </is>
      </c>
      <c r="F7" s="32" t="inlineStr">
        <is>
          <t>Done</t>
        </is>
      </c>
      <c r="G7" s="12" t="inlineStr">
        <is>
          <t>P1</t>
        </is>
      </c>
      <c r="H7" s="12" t="inlineStr">
        <is>
          <t>Home does not consume this API yet.</t>
        </is>
      </c>
    </row>
    <row r="8" ht="42" customHeight="1">
      <c r="A8" s="14" t="inlineStr">
        <is>
          <t>02.04</t>
        </is>
      </c>
      <c r="B8" s="14" t="inlineStr">
        <is>
          <t>Public blogs list/detail</t>
        </is>
      </c>
      <c r="C8" s="14" t="inlineStr">
        <is>
          <t>Customer</t>
        </is>
      </c>
      <c r="D8" s="14" t="inlineStr">
        <is>
          <t>GET /v1/public/blogs and /:slug. Old AllBlogs/Blogspage UI still present.</t>
        </is>
      </c>
      <c r="E8" s="14" t="inlineStr">
        <is>
          <t>GET /v1/public/blogs · apps/web blogs components</t>
        </is>
      </c>
      <c r="F8" s="13" t="inlineStr">
        <is>
          <t>In Progress</t>
        </is>
      </c>
      <c r="G8" s="14" t="inlineStr">
        <is>
          <t>P1</t>
        </is>
      </c>
      <c r="H8" s="14" t="inlineStr">
        <is>
          <t>Point web blogs at platform API instead of Firestore context.</t>
        </is>
      </c>
    </row>
    <row r="9" ht="42" customHeight="1">
      <c r="A9" s="12" t="inlineStr">
        <is>
          <t>02.05</t>
        </is>
      </c>
      <c r="B9" s="12" t="inlineStr">
        <is>
          <t>Contact form → CRM lead</t>
        </is>
      </c>
      <c r="C9" s="12" t="inlineStr">
        <is>
          <t>Customer</t>
        </is>
      </c>
      <c r="D9" s="12" t="inlineStr">
        <is>
          <t>POST /v1/public/contact creates Lead + optional activity note.</t>
        </is>
      </c>
      <c r="E9" s="12" t="inlineStr">
        <is>
          <t>POST /v1/public/contact</t>
        </is>
      </c>
      <c r="F9" s="32" t="inlineStr">
        <is>
          <t>Done</t>
        </is>
      </c>
      <c r="G9" s="12" t="inlineStr">
        <is>
          <t>P1</t>
        </is>
      </c>
      <c r="H9" s="12" t="inlineStr">
        <is>
          <t>Old Contact.jsx may still write the previous backend — switch to API.</t>
        </is>
      </c>
    </row>
    <row r="10" ht="42" customHeight="1">
      <c r="A10" s="14" t="inlineStr">
        <is>
          <t>02.06</t>
        </is>
      </c>
      <c r="B10" s="14" t="inlineStr">
        <is>
          <t>Admin CMS pages</t>
        </is>
      </c>
      <c r="C10" s="14" t="inlineStr">
        <is>
          <t>Admin</t>
        </is>
      </c>
      <c r="D10" s="14" t="inlineStr">
        <is>
          <t>GET/POST /v1/admin/cms upsert by slug. Admin /cms page exists.</t>
        </is>
      </c>
      <c r="E10" s="14" t="inlineStr">
        <is>
          <t>CRUD /v1/admin/cms · apps/admin/app/cms/page.jsx</t>
        </is>
      </c>
      <c r="F10" s="13" t="inlineStr">
        <is>
          <t>In Progress</t>
        </is>
      </c>
      <c r="G10" s="14" t="inlineStr">
        <is>
          <t>P1</t>
        </is>
      </c>
      <c r="H10" s="14" t="inlineStr">
        <is>
          <t>No unpublish workflow beyond published flag; no media picker.</t>
        </is>
      </c>
    </row>
    <row r="11" ht="42" customHeight="1">
      <c r="A11" s="12" t="inlineStr">
        <is>
          <t>02.07</t>
        </is>
      </c>
      <c r="B11" s="12" t="inlineStr">
        <is>
          <t>Admin banners</t>
        </is>
      </c>
      <c r="C11" s="12" t="inlineStr">
        <is>
          <t>Admin</t>
        </is>
      </c>
      <c r="D11" s="12" t="inlineStr">
        <is>
          <t>GET/POST/PATCH /v1/admin/banners.</t>
        </is>
      </c>
      <c r="E11" s="12" t="inlineStr">
        <is>
          <t xml:space="preserve"> /v1/admin/banners</t>
        </is>
      </c>
      <c r="F11" s="13" t="inlineStr">
        <is>
          <t>In Progress</t>
        </is>
      </c>
      <c r="G11" s="12" t="inlineStr">
        <is>
          <t>P1</t>
        </is>
      </c>
      <c r="H11" s="12" t="inlineStr">
        <is>
          <t>No delete endpoint; admin UI may be combined into CMS page.</t>
        </is>
      </c>
    </row>
    <row r="12" ht="42" customHeight="1">
      <c r="A12" s="14" t="inlineStr">
        <is>
          <t>02.08</t>
        </is>
      </c>
      <c r="B12" s="14" t="inlineStr">
        <is>
          <t>Testimonials</t>
        </is>
      </c>
      <c r="C12" s="14" t="inlineStr">
        <is>
          <t>Customer / Admin</t>
        </is>
      </c>
      <c r="D12" s="14" t="inlineStr">
        <is>
          <t>Testimonial model in Prisma. Live UI uses old TestimonialContext (ported site).</t>
        </is>
      </c>
      <c r="E12" s="14" t="inlineStr">
        <is>
          <t>schema Testimonial · apps/web Testimonial.jsx</t>
        </is>
      </c>
      <c r="F12" s="15" t="inlineStr">
        <is>
          <t>Not Started</t>
        </is>
      </c>
      <c r="G12" s="14" t="inlineStr">
        <is>
          <t>P1</t>
        </is>
      </c>
      <c r="H12" s="14" t="inlineStr">
        <is>
          <t>Add public + admin APIs and wire home.</t>
        </is>
      </c>
    </row>
    <row r="13" ht="42" customHeight="1">
      <c r="A13" s="12" t="inlineStr">
        <is>
          <t>02.09</t>
        </is>
      </c>
      <c r="B13" s="12" t="inlineStr">
        <is>
          <t>Blog comments</t>
        </is>
      </c>
      <c r="C13" s="12" t="inlineStr">
        <is>
          <t>Customer</t>
        </is>
      </c>
      <c r="D13" s="12" t="inlineStr">
        <is>
          <t>BlogComment on schema; public blog include comments. No POST comment API.</t>
        </is>
      </c>
      <c r="E13" s="12" t="inlineStr">
        <is>
          <t>schema BlogComment</t>
        </is>
      </c>
      <c r="F13" s="15" t="inlineStr">
        <is>
          <t>Not Started</t>
        </is>
      </c>
      <c r="G13" s="12" t="inlineStr">
        <is>
          <t>P2</t>
        </is>
      </c>
      <c r="H13" s="12" t="inlineStr">
        <is>
          <t>Auth or moderation flag per spec.</t>
        </is>
      </c>
    </row>
    <row r="14" ht="42" customHeight="1">
      <c r="A14" s="14" t="inlineStr">
        <is>
          <t>02.10</t>
        </is>
      </c>
      <c r="B14" s="14" t="inlineStr">
        <is>
          <t>SEO / page metadata</t>
        </is>
      </c>
      <c r="C14" s="14" t="inlineStr">
        <is>
          <t>Admin</t>
        </is>
      </c>
      <c r="D14" s="14" t="inlineStr">
        <is>
          <t>PageMetadata model. Web has SeoDefaults.jsx on old site.</t>
        </is>
      </c>
      <c r="E14" s="14" t="inlineStr">
        <is>
          <t>schema PageMetadata · SeoDefaults.jsx</t>
        </is>
      </c>
      <c r="F14" s="13" t="inlineStr">
        <is>
          <t>In Progress</t>
        </is>
      </c>
      <c r="G14" s="14" t="inlineStr">
        <is>
          <t>P1</t>
        </is>
      </c>
      <c r="H14" s="14" t="inlineStr">
        <is>
          <t>Admin metadata CRUD not on new API.</t>
        </is>
      </c>
    </row>
    <row r="15" ht="42" customHeight="1">
      <c r="A15" s="12" t="inlineStr">
        <is>
          <t>02.11</t>
        </is>
      </c>
      <c r="B15" s="12" t="inlineStr">
        <is>
          <t>WhatsApp / enquiry CTAs</t>
        </is>
      </c>
      <c r="C15" s="12" t="inlineStr">
        <is>
          <t>Customer</t>
        </is>
      </c>
      <c r="D15" s="12" t="inlineStr">
        <is>
          <t>Ported WhatsAppPopup + ContactPopup + Numberattach.</t>
        </is>
      </c>
      <c r="E15" s="12" t="inlineStr">
        <is>
          <t>apps/web WhatsAppPopup · ContactPopup</t>
        </is>
      </c>
      <c r="F15" s="13" t="inlineStr">
        <is>
          <t>In Progress</t>
        </is>
      </c>
      <c r="G15" s="12" t="inlineStr">
        <is>
          <t>P1</t>
        </is>
      </c>
      <c r="H15" s="12" t="inlineStr">
        <is>
          <t>Clicks are not logged as CRM leads yet.</t>
        </is>
      </c>
    </row>
    <row r="17">
      <c r="A17" s="3" t="inlineStr">
        <is>
          <t>Counts</t>
        </is>
      </c>
      <c r="B17" s="16" t="inlineStr">
        <is>
          <t>Done</t>
        </is>
      </c>
      <c r="C17" s="9" t="inlineStr">
        <is>
          <t>In Progress</t>
        </is>
      </c>
      <c r="D17" s="17" t="inlineStr">
        <is>
          <t>Under Review</t>
        </is>
      </c>
      <c r="E17" s="18" t="inlineStr">
        <is>
          <t>Not Started</t>
        </is>
      </c>
    </row>
    <row r="18">
      <c r="B18" s="19">
        <f>COUNTIF(F5:F15,"Done")</f>
        <v/>
      </c>
      <c r="C18" s="20">
        <f>COUNTIF(F5:F15,"In Progress")</f>
        <v/>
      </c>
      <c r="D18" s="21">
        <f>COUNTIF(F5:F15,"Under Review")</f>
        <v/>
      </c>
      <c r="E18" s="22">
        <f>COUNTIF(F5:F15,"Not Started")</f>
        <v/>
      </c>
    </row>
  </sheetData>
  <autoFilter ref="A4:H15"/>
  <mergeCells count="3">
    <mergeCell ref="A3:H3"/>
    <mergeCell ref="A2:H2"/>
    <mergeCell ref="A1:H1"/>
  </mergeCells>
  <dataValidations count="1">
    <dataValidation sqref="F5:F15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03 — Customer accounts &amp; web dashboard</t>
        </is>
      </c>
    </row>
    <row r="2">
      <c r="A2" s="9" t="inlineStr">
        <is>
          <t>Service: identity + booking + payment + document + web    |    Priority: P0    |    Overall status: In Progress</t>
        </is>
      </c>
    </row>
    <row r="3" ht="48" customHeight="1">
      <c r="A3" s="10" t="inlineStr">
        <is>
          <t>Logged-in /account lists bookings and KYC status. APIs exist for invoices, wallet, tickets, agreements-by-id. Dedicated screens for invoices/wallet/tickets/agreements are not built yet.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03.01</t>
        </is>
      </c>
      <c r="B5" s="12" t="inlineStr">
        <is>
          <t>Account home</t>
        </is>
      </c>
      <c r="C5" s="12" t="inlineStr">
        <is>
          <t>Customer</t>
        </is>
      </c>
      <c r="D5" s="12" t="inlineStr">
        <is>
          <t>/account shows name, KYC status, booking list with track links.</t>
        </is>
      </c>
      <c r="E5" s="12" t="inlineStr">
        <is>
          <t>apps/web/src/ms/pages/Account.jsx · GET /v1/me/bookings</t>
        </is>
      </c>
      <c r="F5" s="13" t="inlineStr">
        <is>
          <t>In Progress</t>
        </is>
      </c>
      <c r="G5" s="12" t="inlineStr">
        <is>
          <t>P0</t>
        </is>
      </c>
      <c r="H5" s="12" t="inlineStr">
        <is>
          <t>No profile edit form, addresses UI, or invoices/wallet/tickets links.</t>
        </is>
      </c>
    </row>
    <row r="6" ht="42" customHeight="1">
      <c r="A6" s="14" t="inlineStr">
        <is>
          <t>03.02</t>
        </is>
      </c>
      <c r="B6" s="14" t="inlineStr">
        <is>
          <t>My bookings</t>
        </is>
      </c>
      <c r="C6" s="14" t="inlineStr">
        <is>
          <t>Customer</t>
        </is>
      </c>
      <c r="D6" s="14" t="inlineStr">
        <is>
          <t>GET /v1/me/bookings returns history + payments.</t>
        </is>
      </c>
      <c r="E6" s="14" t="inlineStr">
        <is>
          <t>GET /v1/me/bookings</t>
        </is>
      </c>
      <c r="F6" s="32" t="inlineStr">
        <is>
          <t>Done</t>
        </is>
      </c>
      <c r="G6" s="14" t="inlineStr">
        <is>
          <t>P0</t>
        </is>
      </c>
      <c r="H6" s="14" t="inlineStr">
        <is>
          <t>No /account/bookings/[id] detail page (uses /track/:id).</t>
        </is>
      </c>
    </row>
    <row r="7" ht="42" customHeight="1">
      <c r="A7" s="12" t="inlineStr">
        <is>
          <t>03.03</t>
        </is>
      </c>
      <c r="B7" s="12" t="inlineStr">
        <is>
          <t>KYC from account</t>
        </is>
      </c>
      <c r="C7" s="12" t="inlineStr">
        <is>
          <t>Customer</t>
        </is>
      </c>
      <c r="D7" s="12" t="inlineStr">
        <is>
          <t>/account/kyc page + GET /v1/me/kyc.</t>
        </is>
      </c>
      <c r="E7" s="12" t="inlineStr">
        <is>
          <t>Kyc.jsx · GET /v1/me/kyc</t>
        </is>
      </c>
      <c r="F7" s="13" t="inlineStr">
        <is>
          <t>In Progress</t>
        </is>
      </c>
      <c r="G7" s="12" t="inlineStr">
        <is>
          <t>P0</t>
        </is>
      </c>
      <c r="H7" s="12" t="inlineStr">
        <is>
          <t>See module 09 for upload/signed-URL gaps.</t>
        </is>
      </c>
    </row>
    <row r="8" ht="42" customHeight="1">
      <c r="A8" s="14" t="inlineStr">
        <is>
          <t>03.04</t>
        </is>
      </c>
      <c r="B8" s="14" t="inlineStr">
        <is>
          <t>Invoices download</t>
        </is>
      </c>
      <c r="C8" s="14" t="inlineStr">
        <is>
          <t>Customer</t>
        </is>
      </c>
      <c r="D8" s="14" t="inlineStr">
        <is>
          <t>GET /v1/me/invoices returns Invoice + lines. No account invoices screen.</t>
        </is>
      </c>
      <c r="E8" s="14" t="inlineStr">
        <is>
          <t>GET /v1/me/invoices</t>
        </is>
      </c>
      <c r="F8" s="13" t="inlineStr">
        <is>
          <t>In Progress</t>
        </is>
      </c>
      <c r="G8" s="14" t="inlineStr">
        <is>
          <t>P0</t>
        </is>
      </c>
      <c r="H8" s="14" t="inlineStr">
        <is>
          <t>Build /account/invoices and PDF download.</t>
        </is>
      </c>
    </row>
    <row r="9" ht="42" customHeight="1">
      <c r="A9" s="12" t="inlineStr">
        <is>
          <t>03.05</t>
        </is>
      </c>
      <c r="B9" s="12" t="inlineStr">
        <is>
          <t>Wallet view</t>
        </is>
      </c>
      <c r="C9" s="12" t="inlineStr">
        <is>
          <t>Customer</t>
        </is>
      </c>
      <c r="D9" s="12" t="inlineStr">
        <is>
          <t>GET /v1/me/wallet upserts Wallet and returns txns. No UI.</t>
        </is>
      </c>
      <c r="E9" s="12" t="inlineStr">
        <is>
          <t>GET /v1/me/wallet</t>
        </is>
      </c>
      <c r="F9" s="13" t="inlineStr">
        <is>
          <t>In Progress</t>
        </is>
      </c>
      <c r="G9" s="12" t="inlineStr">
        <is>
          <t>P2</t>
        </is>
      </c>
      <c r="H9" s="12" t="inlineStr">
        <is>
          <t>No credit/debit at checkout (module 18).</t>
        </is>
      </c>
    </row>
    <row r="10" ht="42" customHeight="1">
      <c r="A10" s="14" t="inlineStr">
        <is>
          <t>03.06</t>
        </is>
      </c>
      <c r="B10" s="14" t="inlineStr">
        <is>
          <t>Support tickets</t>
        </is>
      </c>
      <c r="C10" s="14" t="inlineStr">
        <is>
          <t>Customer</t>
        </is>
      </c>
      <c r="D10" s="14" t="inlineStr">
        <is>
          <t>POST /v1/tickets creates ticket + first message. No /account/tickets UI.</t>
        </is>
      </c>
      <c r="E10" s="14" t="inlineStr">
        <is>
          <t>POST /v1/tickets</t>
        </is>
      </c>
      <c r="F10" s="13" t="inlineStr">
        <is>
          <t>In Progress</t>
        </is>
      </c>
      <c r="G10" s="14" t="inlineStr">
        <is>
          <t>P2</t>
        </is>
      </c>
      <c r="H10" s="14" t="inlineStr">
        <is>
          <t>No customer reply thread API beyond create.</t>
        </is>
      </c>
    </row>
    <row r="11" ht="42" customHeight="1">
      <c r="A11" s="12" t="inlineStr">
        <is>
          <t>03.07</t>
        </is>
      </c>
      <c r="B11" s="12" t="inlineStr">
        <is>
          <t>Agreements list/download</t>
        </is>
      </c>
      <c r="C11" s="12" t="inlineStr">
        <is>
          <t>Customer</t>
        </is>
      </c>
      <c r="D11" s="12" t="inlineStr">
        <is>
          <t>GET /v1/me/agreements/:id by id only — no list endpoint or page.</t>
        </is>
      </c>
      <c r="E11" s="12" t="inlineStr">
        <is>
          <t>GET /v1/me/agreements/:id</t>
        </is>
      </c>
      <c r="F11" s="15" t="inlineStr">
        <is>
          <t>Not Started</t>
        </is>
      </c>
      <c r="G11" s="12" t="inlineStr">
        <is>
          <t>P0</t>
        </is>
      </c>
      <c r="H11" s="12" t="inlineStr">
        <is>
          <t>Add GET /v1/me/agreements and /account/agreements.</t>
        </is>
      </c>
    </row>
    <row r="12" ht="42" customHeight="1">
      <c r="A12" s="14" t="inlineStr">
        <is>
          <t>03.08</t>
        </is>
      </c>
      <c r="B12" s="14" t="inlineStr">
        <is>
          <t>No impersonation</t>
        </is>
      </c>
      <c r="C12" s="14" t="inlineStr">
        <is>
          <t>Admin</t>
        </is>
      </c>
      <c r="D12" s="14" t="inlineStr">
        <is>
          <t>No impersonate API (support is read-only by design).</t>
        </is>
      </c>
      <c r="E12" s="14" t="inlineStr">
        <is>
          <t>docs/modules/03-customer-dashboard.md</t>
        </is>
      </c>
      <c r="F12" s="32" t="inlineStr">
        <is>
          <t>Done</t>
        </is>
      </c>
      <c r="G12" s="14" t="inlineStr">
        <is>
          <t>P0</t>
        </is>
      </c>
      <c r="H12" s="14" t="inlineStr">
        <is>
          <t>Keep it this way.</t>
        </is>
      </c>
    </row>
    <row r="14">
      <c r="A14" s="3" t="inlineStr">
        <is>
          <t>Counts</t>
        </is>
      </c>
      <c r="B14" s="16" t="inlineStr">
        <is>
          <t>Done</t>
        </is>
      </c>
      <c r="C14" s="9" t="inlineStr">
        <is>
          <t>In Progress</t>
        </is>
      </c>
      <c r="D14" s="17" t="inlineStr">
        <is>
          <t>Under Review</t>
        </is>
      </c>
      <c r="E14" s="18" t="inlineStr">
        <is>
          <t>Not Started</t>
        </is>
      </c>
    </row>
    <row r="15">
      <c r="B15" s="19">
        <f>COUNTIF(F5:F12,"Done")</f>
        <v/>
      </c>
      <c r="C15" s="20">
        <f>COUNTIF(F5:F12,"In Progress")</f>
        <v/>
      </c>
      <c r="D15" s="21">
        <f>COUNTIF(F5:F12,"Under Review")</f>
        <v/>
      </c>
      <c r="E15" s="22">
        <f>COUNTIF(F5:F12,"Not Started")</f>
        <v/>
      </c>
    </row>
  </sheetData>
  <autoFilter ref="A4:H12"/>
  <mergeCells count="3">
    <mergeCell ref="A3:H3"/>
    <mergeCell ref="A2:H2"/>
    <mergeCell ref="A1:H1"/>
  </mergeCells>
  <dataValidations count="1">
    <dataValidation sqref="F5:F12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04 — Search, discovery &amp; availability</t>
        </is>
      </c>
    </row>
    <row r="2">
      <c r="A2" s="9" t="inlineStr">
        <is>
          <t>Service: catalog    |    Priority: P0    |    Overall status: In Progress</t>
        </is>
      </c>
    </row>
    <row r="3" ht="48" customHeight="1">
      <c r="A3" s="10" t="inlineStr">
        <is>
          <t>Public search, car detail, availability, pricing CRUD, HOLD reserve/release/confirm, and the worker HOLD sweeper are implemented. Search UI is /fleet. Seasonal pricing and a hard DB lock against double-book are still open.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04.01</t>
        </is>
      </c>
      <c r="B5" s="12" t="inlineStr">
        <is>
          <t>Public search</t>
        </is>
      </c>
      <c r="C5" s="12" t="inlineStr">
        <is>
          <t>Customer</t>
        </is>
      </c>
      <c r="D5" s="12" t="inlineStr">
        <is>
          <t>GET /v1/public/search filters city, seats, fuel, transmission, price, rentalType; returns from-price + available flag.</t>
        </is>
      </c>
      <c r="E5" s="12" t="inlineStr">
        <is>
          <t>GET /v1/public/search · catalog.service.ts search</t>
        </is>
      </c>
      <c r="F5" s="32" t="inlineStr">
        <is>
          <t>Done</t>
        </is>
      </c>
      <c r="G5" s="12" t="inlineStr">
        <is>
          <t>P0</t>
        </is>
      </c>
      <c r="H5" s="12" t="inlineStr">
        <is>
          <t>No popularity sort; unpublished models excluded.</t>
        </is>
      </c>
    </row>
    <row r="6" ht="42" customHeight="1">
      <c r="A6" s="14" t="inlineStr">
        <is>
          <t>04.02</t>
        </is>
      </c>
      <c r="B6" s="14" t="inlineStr">
        <is>
          <t>Car detail by slug</t>
        </is>
      </c>
      <c r="C6" s="14" t="inlineStr">
        <is>
          <t>Customer</t>
        </is>
      </c>
      <c r="D6" s="14" t="inlineStr">
        <is>
          <t>GET /v1/public/cars/:slug with images, pricing, city.</t>
        </is>
      </c>
      <c r="E6" s="14" t="inlineStr">
        <is>
          <t>GET /v1/public/cars/:slug · CarDetail.jsx</t>
        </is>
      </c>
      <c r="F6" s="32" t="inlineStr">
        <is>
          <t>Done</t>
        </is>
      </c>
      <c r="G6" s="14" t="inlineStr">
        <is>
          <t>P0</t>
        </is>
      </c>
      <c r="H6" s="14" t="inlineStr">
        <is>
          <t>Calendar of blocked dates is thin.</t>
        </is>
      </c>
    </row>
    <row r="7" ht="42" customHeight="1">
      <c r="A7" s="12" t="inlineStr">
        <is>
          <t>04.03</t>
        </is>
      </c>
      <c r="B7" s="12" t="inlineStr">
        <is>
          <t>Availability check</t>
        </is>
      </c>
      <c r="C7" s="12" t="inlineStr">
        <is>
          <t>Customer</t>
        </is>
      </c>
      <c r="D7" s="12" t="inlineStr">
        <is>
          <t>GET /v1/public/cars/:id/availability uses buffer hours and free-vehicle search.</t>
        </is>
      </c>
      <c r="E7" s="12" t="inlineStr">
        <is>
          <t>GET /v1/public/cars/:id/availability</t>
        </is>
      </c>
      <c r="F7" s="32" t="inlineStr">
        <is>
          <t>Done</t>
        </is>
      </c>
      <c r="G7" s="12" t="inlineStr">
        <is>
          <t>P0</t>
        </is>
      </c>
      <c r="H7" s="12" t="inlineStr"/>
    </row>
    <row r="8" ht="42" customHeight="1">
      <c r="A8" s="14" t="inlineStr">
        <is>
          <t>04.04</t>
        </is>
      </c>
      <c r="B8" s="14" t="inlineStr">
        <is>
          <t>Overlap + buffer + maintenance</t>
        </is>
      </c>
      <c r="C8" s="14" t="inlineStr">
        <is>
          <t>Backend</t>
        </is>
      </c>
      <c r="D8" s="14" t="inlineStr">
        <is>
          <t>vehicleBusy checks blocking booking statuses, AvailabilityBlock, MaintenanceJob. Buffer default 3h (BUFFER_HOURS).</t>
        </is>
      </c>
      <c r="E8" s="14" t="inlineStr">
        <is>
          <t>catalog.service.ts vehicleBusy · findFreeVehicle</t>
        </is>
      </c>
      <c r="F8" s="32" t="inlineStr">
        <is>
          <t>Done</t>
        </is>
      </c>
      <c r="G8" s="14" t="inlineStr">
        <is>
          <t>P0</t>
        </is>
      </c>
      <c r="H8" s="14" t="inlineStr">
        <is>
          <t>No SELECT FOR UPDATE / serializable tx — race possible under concurrent checkout.</t>
        </is>
      </c>
    </row>
    <row r="9" ht="42" customHeight="1">
      <c r="A9" s="12" t="inlineStr">
        <is>
          <t>04.05</t>
        </is>
      </c>
      <c r="B9" s="12" t="inlineStr">
        <is>
          <t>HOLD reserve / release / confirm</t>
        </is>
      </c>
      <c r="C9" s="12" t="inlineStr">
        <is>
          <t>Backend</t>
        </is>
      </c>
      <c r="D9" s="12" t="inlineStr">
        <is>
          <t>Internal reserve creates HOLD:bookingId block; confirm renames to BOOKING:; release deletes.</t>
        </is>
      </c>
      <c r="E9" s="12" t="inlineStr">
        <is>
          <t>POST /internal/availability/reserve|release|confirm</t>
        </is>
      </c>
      <c r="F9" s="32" t="inlineStr">
        <is>
          <t>Done</t>
        </is>
      </c>
      <c r="G9" s="12" t="inlineStr">
        <is>
          <t>P0</t>
        </is>
      </c>
      <c r="H9" s="12" t="inlineStr">
        <is>
          <t>Requires x-internal-token.</t>
        </is>
      </c>
    </row>
    <row r="10" ht="42" customHeight="1">
      <c r="A10" s="14" t="inlineStr">
        <is>
          <t>04.06</t>
        </is>
      </c>
      <c r="B10" s="14" t="inlineStr">
        <is>
          <t>HOLD sweeper</t>
        </is>
      </c>
      <c r="C10" s="14" t="inlineStr">
        <is>
          <t>System</t>
        </is>
      </c>
      <c r="D10" s="14" t="inlineStr">
        <is>
          <t>Worker cron every minute expires unpaid HOLD/AWAITING_PAYMENT and releases availability.</t>
        </is>
      </c>
      <c r="E10" s="14" t="inlineStr">
        <is>
          <t>apps/worker hold-sweeper.job.ts · POST /internal/holds/expire</t>
        </is>
      </c>
      <c r="F10" s="32" t="inlineStr">
        <is>
          <t>Done</t>
        </is>
      </c>
      <c r="G10" s="14" t="inlineStr">
        <is>
          <t>P0</t>
        </is>
      </c>
      <c r="H10" s="14" t="inlineStr">
        <is>
          <t>HOLD_MINUTES env (default 15).</t>
        </is>
      </c>
    </row>
    <row r="11" ht="42" customHeight="1">
      <c r="A11" s="12" t="inlineStr">
        <is>
          <t>04.07</t>
        </is>
      </c>
      <c r="B11" s="12" t="inlineStr">
        <is>
          <t>Admin car models CRUD</t>
        </is>
      </c>
      <c r="C11" s="12" t="inlineStr">
        <is>
          <t>Admin</t>
        </is>
      </c>
      <c r="D11" s="12" t="inlineStr">
        <is>
          <t>GET/POST/PATCH/DELETE /v1/admin/car-models. Admin /cars page.</t>
        </is>
      </c>
      <c r="E11" s="12" t="inlineStr">
        <is>
          <t xml:space="preserve"> /v1/admin/car-models · apps/admin/app/cars</t>
        </is>
      </c>
      <c r="F11" s="13" t="inlineStr">
        <is>
          <t>In Progress</t>
        </is>
      </c>
      <c r="G11" s="12" t="inlineStr">
        <is>
          <t>P0</t>
        </is>
      </c>
      <c r="H11" s="12" t="inlineStr">
        <is>
          <t>Image management is create-time only.</t>
        </is>
      </c>
    </row>
    <row r="12" ht="42" customHeight="1">
      <c r="A12" s="14" t="inlineStr">
        <is>
          <t>04.08</t>
        </is>
      </c>
      <c r="B12" s="14" t="inlineStr">
        <is>
          <t>Pricing rules CRUD</t>
        </is>
      </c>
      <c r="C12" s="14" t="inlineStr">
        <is>
          <t>Admin</t>
        </is>
      </c>
      <c r="D12" s="14" t="inlineStr">
        <is>
          <t>GET/POST/PUT/DELETE /v1/admin/pricing-rules (daily/hourly/extraKm/deposit).</t>
        </is>
      </c>
      <c r="E12" s="14" t="inlineStr">
        <is>
          <t xml:space="preserve"> /v1/admin/pricing-rules</t>
        </is>
      </c>
      <c r="F12" s="32" t="inlineStr">
        <is>
          <t>Done</t>
        </is>
      </c>
      <c r="G12" s="14" t="inlineStr">
        <is>
          <t>P0</t>
        </is>
      </c>
      <c r="H12" s="14" t="inlineStr">
        <is>
          <t>No seasonal / date-window rules.</t>
        </is>
      </c>
    </row>
    <row r="13" ht="42" customHeight="1">
      <c r="A13" s="12" t="inlineStr">
        <is>
          <t>04.09</t>
        </is>
      </c>
      <c r="B13" s="12" t="inlineStr">
        <is>
          <t>Web search UI</t>
        </is>
      </c>
      <c r="C13" s="12" t="inlineStr">
        <is>
          <t>Customer</t>
        </is>
      </c>
      <c r="D13" s="12" t="inlineStr">
        <is>
          <t>/fleet uses new Search.jsx against the API (old /cars carousel still ported).</t>
        </is>
      </c>
      <c r="E13" s="12" t="inlineStr">
        <is>
          <t>apps/web/src/ms/pages/Search.jsx</t>
        </is>
      </c>
      <c r="F13" s="13" t="inlineStr">
        <is>
          <t>In Progress</t>
        </is>
      </c>
      <c r="G13" s="12" t="inlineStr">
        <is>
          <t>P0</t>
        </is>
      </c>
      <c r="H13" s="12" t="inlineStr">
        <is>
          <t>Unify /cars vs /fleet; add sort chips.</t>
        </is>
      </c>
    </row>
    <row r="14" ht="42" customHeight="1">
      <c r="A14" s="14" t="inlineStr">
        <is>
          <t>04.10</t>
        </is>
      </c>
      <c r="B14" s="14" t="inlineStr">
        <is>
          <t>Seasonal / featured pricing</t>
        </is>
      </c>
      <c r="C14" s="14" t="inlineStr">
        <is>
          <t>Admin</t>
        </is>
      </c>
      <c r="D14" s="14" t="inlineStr">
        <is>
          <t>featured + displayOrder on CarModel only.</t>
        </is>
      </c>
      <c r="E14" s="14" t="inlineStr">
        <is>
          <t>CarModel.featured</t>
        </is>
      </c>
      <c r="F14" s="15" t="inlineStr">
        <is>
          <t>Not Started</t>
        </is>
      </c>
      <c r="G14" s="14" t="inlineStr">
        <is>
          <t>P1</t>
        </is>
      </c>
      <c r="H14" s="14" t="inlineStr">
        <is>
          <t>Add date-ranged PricingRule.</t>
        </is>
      </c>
    </row>
    <row r="16">
      <c r="A16" s="3" t="inlineStr">
        <is>
          <t>Counts</t>
        </is>
      </c>
      <c r="B16" s="16" t="inlineStr">
        <is>
          <t>Done</t>
        </is>
      </c>
      <c r="C16" s="9" t="inlineStr">
        <is>
          <t>In Progress</t>
        </is>
      </c>
      <c r="D16" s="17" t="inlineStr">
        <is>
          <t>Under Review</t>
        </is>
      </c>
      <c r="E16" s="18" t="inlineStr">
        <is>
          <t>Not Started</t>
        </is>
      </c>
    </row>
    <row r="17">
      <c r="B17" s="19">
        <f>COUNTIF(F5:F14,"Done")</f>
        <v/>
      </c>
      <c r="C17" s="20">
        <f>COUNTIF(F5:F14,"In Progress")</f>
        <v/>
      </c>
      <c r="D17" s="21">
        <f>COUNTIF(F5:F14,"Under Review")</f>
        <v/>
      </c>
      <c r="E17" s="22">
        <f>COUNTIF(F5:F14,"Not Started")</f>
        <v/>
      </c>
    </row>
  </sheetData>
  <autoFilter ref="A4:H14"/>
  <mergeCells count="3">
    <mergeCell ref="A3:H3"/>
    <mergeCell ref="A2:H2"/>
    <mergeCell ref="A1:H1"/>
  </mergeCells>
  <dataValidations count="1">
    <dataValidation sqref="F5:F14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05 — Booking engine (all rental types)</t>
        </is>
      </c>
    </row>
    <row r="2">
      <c r="A2" s="9" t="inlineStr">
        <is>
          <t>Service: booking    |    Priority: P0    |    Overall status: In Progress</t>
        </is>
      </c>
    </row>
    <row r="3" ht="48" customHeight="1">
      <c r="A3" s="10" t="inlineStr">
        <is>
          <t>Quote → HOLD → pay → KYC → signature → CONFIRMED path is coded, with admin assign vehicle/driver and cancel. Self-drive vs with-driver branch after payment. Chauffeur product rules, policy-based cancel, and admin-created bookings are incomplete.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05.01</t>
        </is>
      </c>
      <c r="B5" s="12" t="inlineStr">
        <is>
          <t>Create quote (price freeze)</t>
        </is>
      </c>
      <c r="C5" s="12" t="inlineStr">
        <is>
          <t>Customer</t>
        </is>
      </c>
      <c r="D5" s="12" t="inlineStr">
        <is>
          <t>POST /v1/quotes computes days/hours from PricingRule, optional offer, TTL ~20 min.</t>
        </is>
      </c>
      <c r="E5" s="12" t="inlineStr">
        <is>
          <t>POST /v1/quotes · booking.service.ts quote</t>
        </is>
      </c>
      <c r="F5" s="32" t="inlineStr">
        <is>
          <t>Done</t>
        </is>
      </c>
      <c r="G5" s="12" t="inlineStr">
        <is>
          <t>P0</t>
        </is>
      </c>
      <c r="H5" s="12" t="inlineStr">
        <is>
          <t>Airport wait/night/one-way extras not auto-added (see module 08).</t>
        </is>
      </c>
    </row>
    <row r="6" ht="42" customHeight="1">
      <c r="A6" s="14" t="inlineStr">
        <is>
          <t>05.02</t>
        </is>
      </c>
      <c r="B6" s="14" t="inlineStr">
        <is>
          <t>Apply offer on quote</t>
        </is>
      </c>
      <c r="C6" s="14" t="inlineStr">
        <is>
          <t>Customer</t>
        </is>
      </c>
      <c r="D6" s="14" t="inlineStr">
        <is>
          <t>POST /v1/quotes/:id/apply-offer validates window, cap, per-user.</t>
        </is>
      </c>
      <c r="E6" s="14" t="inlineStr">
        <is>
          <t>POST /v1/quotes/:id/apply-offer</t>
        </is>
      </c>
      <c r="F6" s="32" t="inlineStr">
        <is>
          <t>Done</t>
        </is>
      </c>
      <c r="G6" s="14" t="inlineStr">
        <is>
          <t>P1</t>
        </is>
      </c>
      <c r="H6" s="14" t="inlineStr">
        <is>
          <t>No floor-price guard.</t>
        </is>
      </c>
    </row>
    <row r="7" ht="42" customHeight="1">
      <c r="A7" s="12" t="inlineStr">
        <is>
          <t>05.03</t>
        </is>
      </c>
      <c r="B7" s="12" t="inlineStr">
        <is>
          <t>Create booking from quote</t>
        </is>
      </c>
      <c r="C7" s="12" t="inlineStr">
        <is>
          <t>Customer</t>
        </is>
      </c>
      <c r="D7" s="12" t="inlineStr">
        <is>
          <t>POST /v1/bookings creates HOLD, reserves vehicle, moves to AWAITING_PAYMENT or cancels if no car.</t>
        </is>
      </c>
      <c r="E7" s="12" t="inlineStr">
        <is>
          <t>POST /v1/bookings</t>
        </is>
      </c>
      <c r="F7" s="32" t="inlineStr">
        <is>
          <t>Done</t>
        </is>
      </c>
      <c r="G7" s="12" t="inlineStr">
        <is>
          <t>P0</t>
        </is>
      </c>
      <c r="H7" s="12" t="inlineStr">
        <is>
          <t>Quote TTL vs HOLD sweeper both apply.</t>
        </is>
      </c>
    </row>
    <row r="8" ht="42" customHeight="1">
      <c r="A8" s="14" t="inlineStr">
        <is>
          <t>05.04</t>
        </is>
      </c>
      <c r="B8" s="14" t="inlineStr">
        <is>
          <t>Get booking + history</t>
        </is>
      </c>
      <c r="C8" s="14" t="inlineStr">
        <is>
          <t>Customer / Admin</t>
        </is>
      </c>
      <c r="D8" s="14" t="inlineStr">
        <is>
          <t>GET /v1/bookings/:id includes history, extras, payments, KYC, agreements, driver, inspections. Owner or staff.</t>
        </is>
      </c>
      <c r="E8" s="14" t="inlineStr">
        <is>
          <t>GET /v1/bookings/:id</t>
        </is>
      </c>
      <c r="F8" s="32" t="inlineStr">
        <is>
          <t>Done</t>
        </is>
      </c>
      <c r="G8" s="14" t="inlineStr">
        <is>
          <t>P0</t>
        </is>
      </c>
      <c r="H8" s="14" t="inlineStr"/>
    </row>
    <row r="9" ht="42" customHeight="1">
      <c r="A9" s="12" t="inlineStr">
        <is>
          <t>05.05</t>
        </is>
      </c>
      <c r="B9" s="12" t="inlineStr">
        <is>
          <t>Cancel booking</t>
        </is>
      </c>
      <c r="C9" s="12" t="inlineStr">
        <is>
          <t>Customer / Admin</t>
        </is>
      </c>
      <c r="D9" s="12" t="inlineStr">
        <is>
          <t>Allowed until HANDOVER/ONGOING/COMPLETED. Releases availability.</t>
        </is>
      </c>
      <c r="E9" s="12" t="inlineStr">
        <is>
          <t>POST /v1/bookings/:id/cancel</t>
        </is>
      </c>
      <c r="F9" s="13" t="inlineStr">
        <is>
          <t>In Progress</t>
        </is>
      </c>
      <c r="G9" s="12" t="inlineStr">
        <is>
          <t>P0</t>
        </is>
      </c>
      <c r="H9" s="12" t="inlineStr">
        <is>
          <t>No hours-before-start policy or auto refund.</t>
        </is>
      </c>
    </row>
    <row r="10" ht="42" customHeight="1">
      <c r="A10" s="14" t="inlineStr">
        <is>
          <t>05.06</t>
        </is>
      </c>
      <c r="B10" s="14" t="inlineStr">
        <is>
          <t>Lifecycle after payment</t>
        </is>
      </c>
      <c r="C10" s="14" t="inlineStr">
        <is>
          <t>Backend</t>
        </is>
      </c>
      <c r="D10" s="14" t="inlineStr">
        <is>
          <t>TOKEN/BALANCE success → SELF_DRIVE AWAITING_KYC else CONFIRMED. KYC approved → AWAITING_SIGNATURE. Signed → CONFIRMED.</t>
        </is>
      </c>
      <c r="E10" s="14" t="inlineStr">
        <is>
          <t>internal /payment-captured /kyc-approved /agreement-signed</t>
        </is>
      </c>
      <c r="F10" s="32" t="inlineStr">
        <is>
          <t>Done</t>
        </is>
      </c>
      <c r="G10" s="14" t="inlineStr">
        <is>
          <t>P0</t>
        </is>
      </c>
      <c r="H10" s="14" t="inlineStr">
        <is>
          <t>With-driver skips KYC/sign by design.</t>
        </is>
      </c>
    </row>
    <row r="11" ht="42" customHeight="1">
      <c r="A11" s="12" t="inlineStr">
        <is>
          <t>05.07</t>
        </is>
      </c>
      <c r="B11" s="12" t="inlineStr">
        <is>
          <t>Admin bookings list / patch / status</t>
        </is>
      </c>
      <c r="C11" s="12" t="inlineStr">
        <is>
          <t>Admin</t>
        </is>
      </c>
      <c r="D11" s="12" t="inlineStr">
        <is>
          <t>GET /v1/admin/bookings, PATCH notes/dates/flight, POST status with confirm/release side effects.</t>
        </is>
      </c>
      <c r="E11" s="12" t="inlineStr">
        <is>
          <t xml:space="preserve"> /v1/admin/bookings* · apps/admin/app/bookings</t>
        </is>
      </c>
      <c r="F11" s="13" t="inlineStr">
        <is>
          <t>In Progress</t>
        </is>
      </c>
      <c r="G11" s="12" t="inlineStr">
        <is>
          <t>P0</t>
        </is>
      </c>
      <c r="H11" s="12" t="inlineStr">
        <is>
          <t>Date change does not re-quote or re-check availability.</t>
        </is>
      </c>
    </row>
    <row r="12" ht="42" customHeight="1">
      <c r="A12" s="14" t="inlineStr">
        <is>
          <t>05.08</t>
        </is>
      </c>
      <c r="B12" s="14" t="inlineStr">
        <is>
          <t>Assign vehicle</t>
        </is>
      </c>
      <c r="C12" s="14" t="inlineStr">
        <is>
          <t>Admin</t>
        </is>
      </c>
      <c r="D12" s="14" t="inlineStr">
        <is>
          <t>POST /v1/admin/bookings/:id/assign-vehicle.</t>
        </is>
      </c>
      <c r="E12" s="14" t="inlineStr">
        <is>
          <t>POST .../assign-vehicle</t>
        </is>
      </c>
      <c r="F12" s="13" t="inlineStr">
        <is>
          <t>In Progress</t>
        </is>
      </c>
      <c r="G12" s="14" t="inlineStr">
        <is>
          <t>P0</t>
        </is>
      </c>
      <c r="H12" s="14" t="inlineStr">
        <is>
          <t>Does not re-validate insurance/status/overlap.</t>
        </is>
      </c>
    </row>
    <row r="13" ht="42" customHeight="1">
      <c r="A13" s="12" t="inlineStr">
        <is>
          <t>05.09</t>
        </is>
      </c>
      <c r="B13" s="12" t="inlineStr">
        <is>
          <t>Assign driver</t>
        </is>
      </c>
      <c r="C13" s="12" t="inlineStr">
        <is>
          <t>Admin</t>
        </is>
      </c>
      <c r="D13" s="12" t="inlineStr">
        <is>
          <t>POST assign-driver upserts DriverAssignment.</t>
        </is>
      </c>
      <c r="E13" s="12" t="inlineStr">
        <is>
          <t>POST .../assign-driver</t>
        </is>
      </c>
      <c r="F13" s="13" t="inlineStr">
        <is>
          <t>In Progress</t>
        </is>
      </c>
      <c r="G13" s="12" t="inlineStr">
        <is>
          <t>P1</t>
        </is>
      </c>
      <c r="H13" s="12" t="inlineStr">
        <is>
          <t>No one-ongoing-trip or city-match validation.</t>
        </is>
      </c>
    </row>
    <row r="14" ht="42" customHeight="1">
      <c r="A14" s="14" t="inlineStr">
        <is>
          <t>05.10</t>
        </is>
      </c>
      <c r="B14" s="14" t="inlineStr">
        <is>
          <t>Status history</t>
        </is>
      </c>
      <c r="C14" s="14" t="inlineStr">
        <is>
          <t>Backend</t>
        </is>
      </c>
      <c r="D14" s="14" t="inlineStr">
        <is>
          <t>BookingStatusHistory written on create, pay, KYC, sign, cancel, expire, handover, return.</t>
        </is>
      </c>
      <c r="E14" s="14" t="inlineStr">
        <is>
          <t>BookingStatusHistory</t>
        </is>
      </c>
      <c r="F14" s="32" t="inlineStr">
        <is>
          <t>Done</t>
        </is>
      </c>
      <c r="G14" s="14" t="inlineStr">
        <is>
          <t>P0</t>
        </is>
      </c>
      <c r="H14" s="14" t="inlineStr"/>
    </row>
    <row r="15" ht="42" customHeight="1">
      <c r="A15" s="12" t="inlineStr">
        <is>
          <t>05.11</t>
        </is>
      </c>
      <c r="B15" s="12" t="inlineStr">
        <is>
          <t>Web checkout</t>
        </is>
      </c>
      <c r="C15" s="12" t="inlineStr">
        <is>
          <t>Customer</t>
        </is>
      </c>
      <c r="D15" s="12" t="inlineStr">
        <is>
          <t>/checkout/:quoteId applies offer, creates booking, mock-verifies Razorpay, goes to success.</t>
        </is>
      </c>
      <c r="E15" s="12" t="inlineStr">
        <is>
          <t>Checkout.jsx</t>
        </is>
      </c>
      <c r="F15" s="13" t="inlineStr">
        <is>
          <t>In Progress</t>
        </is>
      </c>
      <c r="G15" s="12" t="inlineStr">
        <is>
          <t>P0</t>
        </is>
      </c>
      <c r="H15" s="12" t="inlineStr">
        <is>
          <t>No live Razorpay.js checkout when mock=false.</t>
        </is>
      </c>
    </row>
    <row r="16" ht="42" customHeight="1">
      <c r="A16" s="14" t="inlineStr">
        <is>
          <t>05.12</t>
        </is>
      </c>
      <c r="B16" s="14" t="inlineStr">
        <is>
          <t>Tracking page</t>
        </is>
      </c>
      <c r="C16" s="14" t="inlineStr">
        <is>
          <t>Customer</t>
        </is>
      </c>
      <c r="D16" s="14" t="inlineStr">
        <is>
          <t>/track/:bookingId new Track.jsx (old /order-tracking still exists).</t>
        </is>
      </c>
      <c r="E16" s="14" t="inlineStr">
        <is>
          <t>Track.jsx</t>
        </is>
      </c>
      <c r="F16" s="13" t="inlineStr">
        <is>
          <t>In Progress</t>
        </is>
      </c>
      <c r="G16" s="14" t="inlineStr">
        <is>
          <t>P0</t>
        </is>
      </c>
      <c r="H16" s="14" t="inlineStr">
        <is>
          <t>Logged-out track-by-phone OTP not built.</t>
        </is>
      </c>
    </row>
    <row r="17" ht="42" customHeight="1">
      <c r="A17" s="12" t="inlineStr">
        <is>
          <t>05.13</t>
        </is>
      </c>
      <c r="B17" s="12" t="inlineStr">
        <is>
          <t>Realtime status</t>
        </is>
      </c>
      <c r="C17" s="12" t="inlineStr">
        <is>
          <t>Customer</t>
        </is>
      </c>
      <c r="D17" s="12" t="inlineStr">
        <is>
          <t>apps/socket BookingGateway on :4010.</t>
        </is>
      </c>
      <c r="E17" s="12" t="inlineStr">
        <is>
          <t>apps/socket</t>
        </is>
      </c>
      <c r="F17" s="13" t="inlineStr">
        <is>
          <t>In Progress</t>
        </is>
      </c>
      <c r="G17" s="12" t="inlineStr">
        <is>
          <t>P1</t>
        </is>
      </c>
      <c r="H17" s="12" t="inlineStr">
        <is>
          <t>Web/admin do not subscribe yet.</t>
        </is>
      </c>
    </row>
    <row r="18" ht="42" customHeight="1">
      <c r="A18" s="14" t="inlineStr">
        <is>
          <t>05.14</t>
        </is>
      </c>
      <c r="B18" s="14" t="inlineStr">
        <is>
          <t>Admin create booking on behalf</t>
        </is>
      </c>
      <c r="C18" s="14" t="inlineStr">
        <is>
          <t>Admin</t>
        </is>
      </c>
      <c r="D18" s="14" t="inlineStr">
        <is>
          <t>No dedicated sales-create endpoint; would use customer quote APIs.</t>
        </is>
      </c>
      <c r="E18" s="14" t="inlineStr">
        <is>
          <t>—</t>
        </is>
      </c>
      <c r="F18" s="15" t="inlineStr">
        <is>
          <t>Not Started</t>
        </is>
      </c>
      <c r="G18" s="14" t="inlineStr">
        <is>
          <t>P1</t>
        </is>
      </c>
      <c r="H18" s="14" t="inlineStr">
        <is>
          <t>Add POST /v1/admin/bookings with userId.</t>
        </is>
      </c>
    </row>
    <row r="19" ht="42" customHeight="1">
      <c r="A19" s="12" t="inlineStr">
        <is>
          <t>05.15</t>
        </is>
      </c>
      <c r="B19" s="12" t="inlineStr">
        <is>
          <t>NO_SHOW / grace</t>
        </is>
      </c>
      <c r="C19" s="12" t="inlineStr">
        <is>
          <t>Admin</t>
        </is>
      </c>
      <c r="D19" s="12" t="inlineStr">
        <is>
          <t>Status enum includes NO_SHOW; admin can POST status. No automatic grace job.</t>
        </is>
      </c>
      <c r="E19" s="12" t="inlineStr">
        <is>
          <t>BookingStatus.NO_SHOW</t>
        </is>
      </c>
      <c r="F19" s="15" t="inlineStr">
        <is>
          <t>Not Started</t>
        </is>
      </c>
      <c r="G19" s="12" t="inlineStr">
        <is>
          <t>P1</t>
        </is>
      </c>
      <c r="H19" s="12" t="inlineStr">
        <is>
          <t>Add sweeper after start time.</t>
        </is>
      </c>
    </row>
    <row r="21">
      <c r="A21" s="3" t="inlineStr">
        <is>
          <t>Counts</t>
        </is>
      </c>
      <c r="B21" s="16" t="inlineStr">
        <is>
          <t>Done</t>
        </is>
      </c>
      <c r="C21" s="9" t="inlineStr">
        <is>
          <t>In Progress</t>
        </is>
      </c>
      <c r="D21" s="17" t="inlineStr">
        <is>
          <t>Under Review</t>
        </is>
      </c>
      <c r="E21" s="18" t="inlineStr">
        <is>
          <t>Not Started</t>
        </is>
      </c>
    </row>
    <row r="22">
      <c r="B22" s="19">
        <f>COUNTIF(F5:F19,"Done")</f>
        <v/>
      </c>
      <c r="C22" s="20">
        <f>COUNTIF(F5:F19,"In Progress")</f>
        <v/>
      </c>
      <c r="D22" s="21">
        <f>COUNTIF(F5:F19,"Under Review")</f>
        <v/>
      </c>
      <c r="E22" s="22">
        <f>COUNTIF(F5:F19,"Not Started")</f>
        <v/>
      </c>
    </row>
  </sheetData>
  <autoFilter ref="A4:H19"/>
  <mergeCells count="3">
    <mergeCell ref="A3:H3"/>
    <mergeCell ref="A2:H2"/>
    <mergeCell ref="A1:H1"/>
  </mergeCells>
  <dataValidations count="1">
    <dataValidation sqref="F5:F19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E07A3D"/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06 — Payments, invoices &amp; deposits</t>
        </is>
      </c>
    </row>
    <row r="2">
      <c r="A2" s="17" t="inlineStr">
        <is>
          <t>Service: payment    |    Priority: P0    |    Overall status: Under Review</t>
        </is>
      </c>
    </row>
    <row r="3" ht="48" customHeight="1">
      <c r="A3" s="10" t="inlineStr">
        <is>
          <t>Razorpay order + verify + webhook + mock mode, invoices with flat 18% GST, offline pay, refund rows, deposit flags. Live Razorpay, real refunds, state-wise GST, and deposit authorize/capture need review in staging.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06.01</t>
        </is>
      </c>
      <c r="B5" s="12" t="inlineStr">
        <is>
          <t>Create payment order (token/balance/deposit)</t>
        </is>
      </c>
      <c r="C5" s="12" t="inlineStr">
        <is>
          <t>Customer</t>
        </is>
      </c>
      <c r="D5" s="12" t="inlineStr">
        <is>
          <t>POST /v1/payments/orders uses booking amount. Mock order if no RAZORPAY_KEY_ID or PAYMENTS_MOCK=true.</t>
        </is>
      </c>
      <c r="E5" s="12" t="inlineStr">
        <is>
          <t>POST /v1/payments/orders</t>
        </is>
      </c>
      <c r="F5" s="32" t="inlineStr">
        <is>
          <t>Done</t>
        </is>
      </c>
      <c r="G5" s="12" t="inlineStr">
        <is>
          <t>P0</t>
        </is>
      </c>
      <c r="H5" s="12" t="inlineStr">
        <is>
          <t>Amount is booking.amountPaise even for BALANCE (not remaining due).</t>
        </is>
      </c>
    </row>
    <row r="6" ht="42" customHeight="1">
      <c r="A6" s="14" t="inlineStr">
        <is>
          <t>06.02</t>
        </is>
      </c>
      <c r="B6" s="14" t="inlineStr">
        <is>
          <t>Client verify</t>
        </is>
      </c>
      <c r="C6" s="14" t="inlineStr">
        <is>
          <t>Customer</t>
        </is>
      </c>
      <c r="D6" s="14" t="inlineStr">
        <is>
          <t>POST /v1/payments/verify HMAC of order|payment; mock marks SUCCESS.</t>
        </is>
      </c>
      <c r="E6" s="14" t="inlineStr">
        <is>
          <t>POST /v1/payments/verify</t>
        </is>
      </c>
      <c r="F6" s="32" t="inlineStr">
        <is>
          <t>Done</t>
        </is>
      </c>
      <c r="G6" s="14" t="inlineStr">
        <is>
          <t>P0</t>
        </is>
      </c>
      <c r="H6" s="14" t="inlineStr">
        <is>
          <t>Webhook should remain source of truth in prod.</t>
        </is>
      </c>
    </row>
    <row r="7" ht="42" customHeight="1">
      <c r="A7" s="12" t="inlineStr">
        <is>
          <t>06.03</t>
        </is>
      </c>
      <c r="B7" s="12" t="inlineStr">
        <is>
          <t>Razorpay webhook</t>
        </is>
      </c>
      <c r="C7" s="12" t="inlineStr">
        <is>
          <t>System</t>
        </is>
      </c>
      <c r="D7" s="12" t="inlineStr">
        <is>
          <t>POST /v1/webhooks/razorpay signature check + idempotent eventId on captured/authorized.</t>
        </is>
      </c>
      <c r="E7" s="12" t="inlineStr">
        <is>
          <t>POST /v1/webhooks/razorpay</t>
        </is>
      </c>
      <c r="F7" s="31" t="inlineStr">
        <is>
          <t>Under Review</t>
        </is>
      </c>
      <c r="G7" s="12" t="inlineStr">
        <is>
          <t>P0</t>
        </is>
      </c>
      <c r="H7" s="12" t="inlineStr">
        <is>
          <t>Test with Razorpay test-mode webhook secret.</t>
        </is>
      </c>
    </row>
    <row r="8" ht="42" customHeight="1">
      <c r="A8" s="14" t="inlineStr">
        <is>
          <t>06.04</t>
        </is>
      </c>
      <c r="B8" s="14" t="inlineStr">
        <is>
          <t>Invoice on success</t>
        </is>
      </c>
      <c r="C8" s="14" t="inlineStr">
        <is>
          <t>Customer</t>
        </is>
      </c>
      <c r="D8" s="14" t="inlineStr">
        <is>
          <t>Creates INV-YEAR-##### with GST 18% lines after SUCCESS.</t>
        </is>
      </c>
      <c r="E8" s="14" t="inlineStr">
        <is>
          <t>payment.service.ts afterSuccess</t>
        </is>
      </c>
      <c r="F8" s="13" t="inlineStr">
        <is>
          <t>In Progress</t>
        </is>
      </c>
      <c r="G8" s="14" t="inlineStr">
        <is>
          <t>P1</t>
        </is>
      </c>
      <c r="H8" s="14" t="inlineStr">
        <is>
          <t>Not CGST/SGST vs IGST by state; no PDF.</t>
        </is>
      </c>
    </row>
    <row r="9" ht="42" customHeight="1">
      <c r="A9" s="12" t="inlineStr">
        <is>
          <t>06.05</t>
        </is>
      </c>
      <c r="B9" s="12" t="inlineStr">
        <is>
          <t>List my invoices</t>
        </is>
      </c>
      <c r="C9" s="12" t="inlineStr">
        <is>
          <t>Customer</t>
        </is>
      </c>
      <c r="D9" s="12" t="inlineStr">
        <is>
          <t>GET /v1/me/invoices.</t>
        </is>
      </c>
      <c r="E9" s="12" t="inlineStr">
        <is>
          <t>GET /v1/me/invoices</t>
        </is>
      </c>
      <c r="F9" s="32" t="inlineStr">
        <is>
          <t>Done</t>
        </is>
      </c>
      <c r="G9" s="12" t="inlineStr">
        <is>
          <t>P0</t>
        </is>
      </c>
      <c r="H9" s="12" t="inlineStr">
        <is>
          <t>No customer UI yet.</t>
        </is>
      </c>
    </row>
    <row r="10" ht="42" customHeight="1">
      <c r="A10" s="14" t="inlineStr">
        <is>
          <t>06.06</t>
        </is>
      </c>
      <c r="B10" s="14" t="inlineStr">
        <is>
          <t>Offline cash/UPI</t>
        </is>
      </c>
      <c r="C10" s="14" t="inlineStr">
        <is>
          <t>Admin</t>
        </is>
      </c>
      <c r="D10" s="14" t="inlineStr">
        <is>
          <t>POST /v1/admin/payments/offline marks SUCCESS and runs afterSuccess + audit.</t>
        </is>
      </c>
      <c r="E10" s="14" t="inlineStr">
        <is>
          <t>POST /v1/admin/payments/offline</t>
        </is>
      </c>
      <c r="F10" s="32" t="inlineStr">
        <is>
          <t>Done</t>
        </is>
      </c>
      <c r="G10" s="14" t="inlineStr">
        <is>
          <t>P1</t>
        </is>
      </c>
      <c r="H10" s="14" t="inlineStr">
        <is>
          <t>No branch-scoping of who can record.</t>
        </is>
      </c>
    </row>
    <row r="11" ht="42" customHeight="1">
      <c r="A11" s="12" t="inlineStr">
        <is>
          <t>06.07</t>
        </is>
      </c>
      <c r="B11" s="12" t="inlineStr">
        <is>
          <t>Refunds</t>
        </is>
      </c>
      <c r="C11" s="12" t="inlineStr">
        <is>
          <t>Admin</t>
        </is>
      </c>
      <c r="D11" s="12" t="inlineStr">
        <is>
          <t>POST /v1/admin/payments/:id/refund writes Refund row and payment status. Does not call Razorpay refund API.</t>
        </is>
      </c>
      <c r="E11" s="12" t="inlineStr">
        <is>
          <t>POST /v1/admin/payments/:id/refund</t>
        </is>
      </c>
      <c r="F11" s="13" t="inlineStr">
        <is>
          <t>In Progress</t>
        </is>
      </c>
      <c r="G11" s="12" t="inlineStr">
        <is>
          <t>P1</t>
        </is>
      </c>
      <c r="H11" s="12" t="inlineStr">
        <is>
          <t>Wire Razorpay refunds + webhook.</t>
        </is>
      </c>
    </row>
    <row r="12" ht="42" customHeight="1">
      <c r="A12" s="14" t="inlineStr">
        <is>
          <t>06.08</t>
        </is>
      </c>
      <c r="B12" s="14" t="inlineStr">
        <is>
          <t>Security deposit capture/release</t>
        </is>
      </c>
      <c r="C12" s="14" t="inlineStr">
        <is>
          <t>Admin</t>
        </is>
      </c>
      <c r="D12" s="14" t="inlineStr">
        <is>
          <t>POST deposits/:id/capture|release toggles held/released flags.</t>
        </is>
      </c>
      <c r="E12" s="14" t="inlineStr">
        <is>
          <t>POST /v1/admin/deposits/:id/*</t>
        </is>
      </c>
      <c r="F12" s="13" t="inlineStr">
        <is>
          <t>In Progress</t>
        </is>
      </c>
      <c r="G12" s="14" t="inlineStr">
        <is>
          <t>P1</t>
        </is>
      </c>
      <c r="H12" s="14" t="inlineStr">
        <is>
          <t>No Razorpay authorize; no auto-release after return inspection.</t>
        </is>
      </c>
    </row>
    <row r="13" ht="42" customHeight="1">
      <c r="A13" s="12" t="inlineStr">
        <is>
          <t>06.09</t>
        </is>
      </c>
      <c r="B13" s="12" t="inlineStr">
        <is>
          <t>Wallet read</t>
        </is>
      </c>
      <c r="C13" s="12" t="inlineStr">
        <is>
          <t>Customer</t>
        </is>
      </c>
      <c r="D13" s="12" t="inlineStr">
        <is>
          <t>GET /v1/me/wallet.</t>
        </is>
      </c>
      <c r="E13" s="12" t="inlineStr">
        <is>
          <t>GET /v1/me/wallet</t>
        </is>
      </c>
      <c r="F13" s="13" t="inlineStr">
        <is>
          <t>In Progress</t>
        </is>
      </c>
      <c r="G13" s="12" t="inlineStr">
        <is>
          <t>P2</t>
        </is>
      </c>
      <c r="H13" s="12" t="inlineStr">
        <is>
          <t>Cannot pay token from wallet.</t>
        </is>
      </c>
    </row>
    <row r="14" ht="42" customHeight="1">
      <c r="A14" s="14" t="inlineStr">
        <is>
          <t>06.10</t>
        </is>
      </c>
      <c r="B14" s="14" t="inlineStr">
        <is>
          <t>Admin payments UI</t>
        </is>
      </c>
      <c r="C14" s="14" t="inlineStr">
        <is>
          <t>Admin</t>
        </is>
      </c>
      <c r="D14" s="14" t="inlineStr">
        <is>
          <t>apps/admin/app/payments page.</t>
        </is>
      </c>
      <c r="E14" s="14" t="inlineStr">
        <is>
          <t>apps/admin/app/payments/page.jsx</t>
        </is>
      </c>
      <c r="F14" s="13" t="inlineStr">
        <is>
          <t>In Progress</t>
        </is>
      </c>
      <c r="G14" s="14" t="inlineStr">
        <is>
          <t>P0</t>
        </is>
      </c>
      <c r="H14" s="14" t="inlineStr">
        <is>
          <t>Needs refund/deposit actions in UI.</t>
        </is>
      </c>
    </row>
    <row r="15" ht="42" customHeight="1">
      <c r="A15" s="12" t="inlineStr">
        <is>
          <t>06.11</t>
        </is>
      </c>
      <c r="B15" s="12" t="inlineStr">
        <is>
          <t>Razorpay settlement recon</t>
        </is>
      </c>
      <c r="C15" s="12" t="inlineStr">
        <is>
          <t>Admin</t>
        </is>
      </c>
      <c r="D15" s="12" t="inlineStr">
        <is>
          <t>No PayoutReconciliation flow.</t>
        </is>
      </c>
      <c r="E15" s="12" t="inlineStr">
        <is>
          <t>—</t>
        </is>
      </c>
      <c r="F15" s="15" t="inlineStr">
        <is>
          <t>Not Started</t>
        </is>
      </c>
      <c r="G15" s="12" t="inlineStr">
        <is>
          <t>P2</t>
        </is>
      </c>
      <c r="H15" s="12" t="inlineStr">
        <is>
          <t>Finance mismatch queue.</t>
        </is>
      </c>
    </row>
    <row r="17">
      <c r="A17" s="3" t="inlineStr">
        <is>
          <t>Counts</t>
        </is>
      </c>
      <c r="B17" s="16" t="inlineStr">
        <is>
          <t>Done</t>
        </is>
      </c>
      <c r="C17" s="9" t="inlineStr">
        <is>
          <t>In Progress</t>
        </is>
      </c>
      <c r="D17" s="17" t="inlineStr">
        <is>
          <t>Under Review</t>
        </is>
      </c>
      <c r="E17" s="18" t="inlineStr">
        <is>
          <t>Not Started</t>
        </is>
      </c>
    </row>
    <row r="18">
      <c r="B18" s="19">
        <f>COUNTIF(F5:F15,"Done")</f>
        <v/>
      </c>
      <c r="C18" s="20">
        <f>COUNTIF(F5:F15,"In Progress")</f>
        <v/>
      </c>
      <c r="D18" s="21">
        <f>COUNTIF(F5:F15,"Under Review")</f>
        <v/>
      </c>
      <c r="E18" s="22">
        <f>COUNTIF(F5:F15,"Not Started")</f>
        <v/>
      </c>
    </row>
  </sheetData>
  <autoFilter ref="A4:H15"/>
  <mergeCells count="3">
    <mergeCell ref="A3:H3"/>
    <mergeCell ref="A2:H2"/>
    <mergeCell ref="A1:H1"/>
  </mergeCells>
  <dataValidations count="1">
    <dataValidation sqref="F5:F15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07 — Car subscription &amp; long-term</t>
        </is>
      </c>
    </row>
    <row r="2">
      <c r="A2" s="9" t="inlineStr">
        <is>
          <t>Service: booking + catalog    |    Priority: P2    |    Overall status: In Progress</t>
        </is>
      </c>
    </row>
    <row r="3" ht="48" customHeight="1">
      <c r="A3" s="10" t="inlineStr">
        <is>
          <t>Data model + POST /v1/subscriptions creates a SUBSCRIPTION booking from a plan. No public plans API, swap, pause, or recurring invoices. After-MVP.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07.01</t>
        </is>
      </c>
      <c r="B5" s="12" t="inlineStr">
        <is>
          <t>Subscription plan table</t>
        </is>
      </c>
      <c r="C5" s="12" t="inlineStr">
        <is>
          <t>Backend</t>
        </is>
      </c>
      <c r="D5" s="12" t="inlineStr">
        <is>
          <t>SubscriptionPlan (months, price, carModel) in Prisma.</t>
        </is>
      </c>
      <c r="E5" s="12" t="inlineStr">
        <is>
          <t>packages/database/prisma/schema.prisma SubscriptionPlan</t>
        </is>
      </c>
      <c r="F5" s="32" t="inlineStr">
        <is>
          <t>Done</t>
        </is>
      </c>
      <c r="G5" s="12" t="inlineStr">
        <is>
          <t>P2</t>
        </is>
      </c>
      <c r="H5" s="12" t="inlineStr">
        <is>
          <t>No admin CRUD API for plans.</t>
        </is>
      </c>
    </row>
    <row r="6" ht="42" customHeight="1">
      <c r="A6" s="14" t="inlineStr">
        <is>
          <t>07.02</t>
        </is>
      </c>
      <c r="B6" s="14" t="inlineStr">
        <is>
          <t>Start subscription</t>
        </is>
      </c>
      <c r="C6" s="14" t="inlineStr">
        <is>
          <t>Customer</t>
        </is>
      </c>
      <c r="D6" s="14" t="inlineStr">
        <is>
          <t>POST /v1/subscriptions quotes SUBSCRIPTION, overwrites amount to plan price, creates booking + Subscription row.</t>
        </is>
      </c>
      <c r="E6" s="14" t="inlineStr">
        <is>
          <t>POST /v1/subscriptions</t>
        </is>
      </c>
      <c r="F6" s="13" t="inlineStr">
        <is>
          <t>In Progress</t>
        </is>
      </c>
      <c r="G6" s="14" t="inlineStr">
        <is>
          <t>P2</t>
        </is>
      </c>
      <c r="H6" s="14" t="inlineStr">
        <is>
          <t>Starts immediately; no handover-aligned start; needs available vehicle.</t>
        </is>
      </c>
    </row>
    <row r="7" ht="42" customHeight="1">
      <c r="A7" s="12" t="inlineStr">
        <is>
          <t>07.03</t>
        </is>
      </c>
      <c r="B7" s="12" t="inlineStr">
        <is>
          <t>Public plans listing</t>
        </is>
      </c>
      <c r="C7" s="12" t="inlineStr">
        <is>
          <t>Customer</t>
        </is>
      </c>
      <c r="D7" s="12" t="inlineStr">
        <is>
          <t>GET /v1/public/subscriptions/plans not implemented.</t>
        </is>
      </c>
      <c r="E7" s="12" t="inlineStr">
        <is>
          <t>—</t>
        </is>
      </c>
      <c r="F7" s="15" t="inlineStr">
        <is>
          <t>Not Started</t>
        </is>
      </c>
      <c r="G7" s="12" t="inlineStr">
        <is>
          <t>P2</t>
        </is>
      </c>
      <c r="H7" s="12" t="inlineStr"/>
    </row>
    <row r="8" ht="42" customHeight="1">
      <c r="A8" s="14" t="inlineStr">
        <is>
          <t>07.04</t>
        </is>
      </c>
      <c r="B8" s="14" t="inlineStr">
        <is>
          <t>Swap / early close</t>
        </is>
      </c>
      <c r="C8" s="14" t="inlineStr">
        <is>
          <t>Admin</t>
        </is>
      </c>
      <c r="D8" s="14" t="inlineStr">
        <is>
          <t>POST /v1/admin/subscriptions/:id/swap|close not implemented.</t>
        </is>
      </c>
      <c r="E8" s="14" t="inlineStr">
        <is>
          <t>—</t>
        </is>
      </c>
      <c r="F8" s="15" t="inlineStr">
        <is>
          <t>Not Started</t>
        </is>
      </c>
      <c r="G8" s="14" t="inlineStr">
        <is>
          <t>P2</t>
        </is>
      </c>
      <c r="H8" s="14" t="inlineStr"/>
    </row>
    <row r="9" ht="42" customHeight="1">
      <c r="A9" s="12" t="inlineStr">
        <is>
          <t>07.05</t>
        </is>
      </c>
      <c r="B9" s="12" t="inlineStr">
        <is>
          <t>Monthly invoice / mandate</t>
        </is>
      </c>
      <c r="C9" s="12" t="inlineStr">
        <is>
          <t>Finance</t>
        </is>
      </c>
      <c r="D9" s="12" t="inlineStr">
        <is>
          <t>Spec says invoice-per-month; not built.</t>
        </is>
      </c>
      <c r="E9" s="12" t="inlineStr">
        <is>
          <t>—</t>
        </is>
      </c>
      <c r="F9" s="15" t="inlineStr">
        <is>
          <t>Not Started</t>
        </is>
      </c>
      <c r="G9" s="12" t="inlineStr">
        <is>
          <t>P2</t>
        </is>
      </c>
      <c r="H9" s="12" t="inlineStr">
        <is>
          <t>Razorpay mandate later.</t>
        </is>
      </c>
    </row>
    <row r="11">
      <c r="A11" s="3" t="inlineStr">
        <is>
          <t>Counts</t>
        </is>
      </c>
      <c r="B11" s="16" t="inlineStr">
        <is>
          <t>Done</t>
        </is>
      </c>
      <c r="C11" s="9" t="inlineStr">
        <is>
          <t>In Progress</t>
        </is>
      </c>
      <c r="D11" s="17" t="inlineStr">
        <is>
          <t>Under Review</t>
        </is>
      </c>
      <c r="E11" s="18" t="inlineStr">
        <is>
          <t>Not Started</t>
        </is>
      </c>
    </row>
    <row r="12">
      <c r="B12" s="19">
        <f>COUNTIF(F5:F9,"Done")</f>
        <v/>
      </c>
      <c r="C12" s="20">
        <f>COUNTIF(F5:F9,"In Progress")</f>
        <v/>
      </c>
      <c r="D12" s="21">
        <f>COUNTIF(F5:F9,"Under Review")</f>
        <v/>
      </c>
      <c r="E12" s="22">
        <f>COUNTIF(F5:F9,"Not Started")</f>
        <v/>
      </c>
    </row>
  </sheetData>
  <autoFilter ref="A4:H9"/>
  <mergeCells count="3">
    <mergeCell ref="A3:H3"/>
    <mergeCell ref="A2:H2"/>
    <mergeCell ref="A1:H1"/>
  </mergeCells>
  <dataValidations count="1">
    <dataValidation sqref="F5:F9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08 — Airport, outstation, one-way &amp; tours</t>
        </is>
      </c>
    </row>
    <row r="2">
      <c r="A2" s="9" t="inlineStr">
        <is>
          <t>Service: booking    |    Priority: P1–P2    |    Overall status: In Progress</t>
        </is>
      </c>
    </row>
    <row r="3" ht="48" customHeight="1">
      <c r="A3" s="10" t="inlineStr">
        <is>
          <t>Tour packages and city-pair one-way rates have APIs. Quote accepts all RentalType values but pricing is still daily/hourly rules only — no terminal wait slabs, night charges, or driver allowance.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08.01</t>
        </is>
      </c>
      <c r="B5" s="12" t="inlineStr">
        <is>
          <t>Public tour packages</t>
        </is>
      </c>
      <c r="C5" s="12" t="inlineStr">
        <is>
          <t>Customer</t>
        </is>
      </c>
      <c r="D5" s="12" t="inlineStr">
        <is>
          <t>GET /v1/public/packages published TourPackage + TourDay.</t>
        </is>
      </c>
      <c r="E5" s="12" t="inlineStr">
        <is>
          <t>GET /v1/public/packages</t>
        </is>
      </c>
      <c r="F5" s="32" t="inlineStr">
        <is>
          <t>Done</t>
        </is>
      </c>
      <c r="G5" s="12" t="inlineStr">
        <is>
          <t>P2</t>
        </is>
      </c>
      <c r="H5" s="12" t="inlineStr">
        <is>
          <t>No /packages web route.</t>
        </is>
      </c>
    </row>
    <row r="6" ht="42" customHeight="1">
      <c r="A6" s="14" t="inlineStr">
        <is>
          <t>08.02</t>
        </is>
      </c>
      <c r="B6" s="14" t="inlineStr">
        <is>
          <t>Admin packages CRUD</t>
        </is>
      </c>
      <c r="C6" s="14" t="inlineStr">
        <is>
          <t>Admin</t>
        </is>
      </c>
      <c r="D6" s="14" t="inlineStr">
        <is>
          <t>GET/POST/PATCH + POST delete /v1/admin/packages.</t>
        </is>
      </c>
      <c r="E6" s="14" t="inlineStr">
        <is>
          <t xml:space="preserve"> /v1/admin/packages</t>
        </is>
      </c>
      <c r="F6" s="13" t="inlineStr">
        <is>
          <t>In Progress</t>
        </is>
      </c>
      <c r="G6" s="14" t="inlineStr">
        <is>
          <t>P2</t>
        </is>
      </c>
      <c r="H6" s="14" t="inlineStr">
        <is>
          <t>No admin UI page; daysDetail not edited on create.</t>
        </is>
      </c>
    </row>
    <row r="7" ht="42" customHeight="1">
      <c r="A7" s="12" t="inlineStr">
        <is>
          <t>08.03</t>
        </is>
      </c>
      <c r="B7" s="12" t="inlineStr">
        <is>
          <t>City-pair one-way fee</t>
        </is>
      </c>
      <c r="C7" s="12" t="inlineStr">
        <is>
          <t>Admin</t>
        </is>
      </c>
      <c r="D7" s="12" t="inlineStr">
        <is>
          <t>GET/POST /v1/admin/city-pairs upserts CityPairRate.</t>
        </is>
      </c>
      <c r="E7" s="12" t="inlineStr">
        <is>
          <t xml:space="preserve"> /v1/admin/city-pairs</t>
        </is>
      </c>
      <c r="F7" s="13" t="inlineStr">
        <is>
          <t>In Progress</t>
        </is>
      </c>
      <c r="G7" s="12" t="inlineStr">
        <is>
          <t>P1</t>
        </is>
      </c>
      <c r="H7" s="12" t="inlineStr">
        <is>
          <t>Quote engine does not add oneWayPaise yet.</t>
        </is>
      </c>
    </row>
    <row r="8" ht="42" customHeight="1">
      <c r="A8" s="14" t="inlineStr">
        <is>
          <t>08.04</t>
        </is>
      </c>
      <c r="B8" s="14" t="inlineStr">
        <is>
          <t>Quote product types</t>
        </is>
      </c>
      <c r="C8" s="14" t="inlineStr">
        <is>
          <t>Customer</t>
        </is>
      </c>
      <c r="D8" s="14" t="inlineStr">
        <is>
          <t>POST /v1/quotes accepts SELF_DRIVE, WITH_DRIVER_*, AIRPORT, OUTSTATION, ONE_WAY, TOUR, SUBSCRIPTION via Prisma enum.</t>
        </is>
      </c>
      <c r="E8" s="14" t="inlineStr">
        <is>
          <t>POST /v1/quotes rentalType</t>
        </is>
      </c>
      <c r="F8" s="13" t="inlineStr">
        <is>
          <t>In Progress</t>
        </is>
      </c>
      <c r="G8" s="14" t="inlineStr">
        <is>
          <t>P1</t>
        </is>
      </c>
      <c r="H8" s="14" t="inlineStr">
        <is>
          <t>WITH_DRIVER_LOCAL uses hourlyPaise; others use dailyPaise only.</t>
        </is>
      </c>
    </row>
    <row r="9" ht="42" customHeight="1">
      <c r="A9" s="12" t="inlineStr">
        <is>
          <t>08.05</t>
        </is>
      </c>
      <c r="B9" s="12" t="inlineStr">
        <is>
          <t>Flight number</t>
        </is>
      </c>
      <c r="C9" s="12" t="inlineStr">
        <is>
          <t>Admin</t>
        </is>
      </c>
      <c r="D9" s="12" t="inlineStr">
        <is>
          <t>adminPatch can set flightNumber.</t>
        </is>
      </c>
      <c r="E9" s="12" t="inlineStr">
        <is>
          <t>PATCH /v1/admin/bookings/:id</t>
        </is>
      </c>
      <c r="F9" s="13" t="inlineStr">
        <is>
          <t>In Progress</t>
        </is>
      </c>
      <c r="G9" s="12" t="inlineStr">
        <is>
          <t>P1</t>
        </is>
      </c>
      <c r="H9" s="12" t="inlineStr">
        <is>
          <t>Customer checkout does not collect flight/terminal.</t>
        </is>
      </c>
    </row>
    <row r="10" ht="42" customHeight="1">
      <c r="A10" s="14" t="inlineStr">
        <is>
          <t>08.06</t>
        </is>
      </c>
      <c r="B10" s="14" t="inlineStr">
        <is>
          <t>Airport terminals &amp; wait slabs</t>
        </is>
      </c>
      <c r="C10" s="14" t="inlineStr">
        <is>
          <t>Admin</t>
        </is>
      </c>
      <c r="D10" s="14" t="inlineStr">
        <is>
          <t>AirportTerminal model only — no API.</t>
        </is>
      </c>
      <c r="E10" s="14" t="inlineStr">
        <is>
          <t>schema AirportTerminal</t>
        </is>
      </c>
      <c r="F10" s="15" t="inlineStr">
        <is>
          <t>Not Started</t>
        </is>
      </c>
      <c r="G10" s="14" t="inlineStr">
        <is>
          <t>P1</t>
        </is>
      </c>
      <c r="H10" s="14" t="inlineStr">
        <is>
          <t>Free wait minutes + night charges.</t>
        </is>
      </c>
    </row>
    <row r="11" ht="42" customHeight="1">
      <c r="A11" s="12" t="inlineStr">
        <is>
          <t>08.07</t>
        </is>
      </c>
      <c r="B11" s="12" t="inlineStr">
        <is>
          <t>Outstation driver allowance</t>
        </is>
      </c>
      <c r="C11" s="12" t="inlineStr">
        <is>
          <t>Backend</t>
        </is>
      </c>
      <c r="D11" s="12" t="inlineStr">
        <is>
          <t>Not in quote calculation.</t>
        </is>
      </c>
      <c r="E11" s="12" t="inlineStr">
        <is>
          <t>—</t>
        </is>
      </c>
      <c r="F11" s="15" t="inlineStr">
        <is>
          <t>Not Started</t>
        </is>
      </c>
      <c r="G11" s="12" t="inlineStr">
        <is>
          <t>P1</t>
        </is>
      </c>
      <c r="H11" s="12" t="inlineStr">
        <is>
          <t>Auto-add per night.</t>
        </is>
      </c>
    </row>
    <row r="12" ht="42" customHeight="1">
      <c r="A12" s="14" t="inlineStr">
        <is>
          <t>08.08</t>
        </is>
      </c>
      <c r="B12" s="14" t="inlineStr">
        <is>
          <t>Web packages page</t>
        </is>
      </c>
      <c r="C12" s="14" t="inlineStr">
        <is>
          <t>Customer</t>
        </is>
      </c>
      <c r="D12" s="14" t="inlineStr">
        <is>
          <t>Not in Container.jsx routes.</t>
        </is>
      </c>
      <c r="E12" s="14" t="inlineStr">
        <is>
          <t>—</t>
        </is>
      </c>
      <c r="F12" s="15" t="inlineStr">
        <is>
          <t>Not Started</t>
        </is>
      </c>
      <c r="G12" s="14" t="inlineStr">
        <is>
          <t>P2</t>
        </is>
      </c>
      <c r="H12" s="14" t="inlineStr">
        <is>
          <t>Add /packages.</t>
        </is>
      </c>
    </row>
    <row r="14">
      <c r="A14" s="3" t="inlineStr">
        <is>
          <t>Counts</t>
        </is>
      </c>
      <c r="B14" s="16" t="inlineStr">
        <is>
          <t>Done</t>
        </is>
      </c>
      <c r="C14" s="9" t="inlineStr">
        <is>
          <t>In Progress</t>
        </is>
      </c>
      <c r="D14" s="17" t="inlineStr">
        <is>
          <t>Under Review</t>
        </is>
      </c>
      <c r="E14" s="18" t="inlineStr">
        <is>
          <t>Not Started</t>
        </is>
      </c>
    </row>
    <row r="15">
      <c r="B15" s="19">
        <f>COUNTIF(F5:F12,"Done")</f>
        <v/>
      </c>
      <c r="C15" s="20">
        <f>COUNTIF(F5:F12,"In Progress")</f>
        <v/>
      </c>
      <c r="D15" s="21">
        <f>COUNTIF(F5:F12,"Under Review")</f>
        <v/>
      </c>
      <c r="E15" s="22">
        <f>COUNTIF(F5:F12,"Not Started")</f>
        <v/>
      </c>
    </row>
  </sheetData>
  <autoFilter ref="A4:H12"/>
  <mergeCells count="3">
    <mergeCell ref="A3:H3"/>
    <mergeCell ref="A2:H2"/>
    <mergeCell ref="A1:H1"/>
  </mergeCells>
  <dataValidations count="1">
    <dataValidation sqref="F5:F12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09 — Legal KYC &amp; documents</t>
        </is>
      </c>
    </row>
    <row r="2">
      <c r="A2" s="9" t="inlineStr">
        <is>
          <t>Service: document    |    Priority: P0    |    Overall status: In Progress</t>
        </is>
      </c>
    </row>
    <row r="3" ht="48" customHeight="1">
      <c r="A3" s="10" t="inlineStr">
        <is>
          <t>Customer submit + admin approve/reject advances self-drive bookings. Zoho webhook creates a KYC case. Uploads do not issue signed Cloudinary slots. Aadhaar hashing, DL expiry rules, and 12-month reuse are not built.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09.01</t>
        </is>
      </c>
      <c r="B5" s="12" t="inlineStr">
        <is>
          <t>Submit KYC case</t>
        </is>
      </c>
      <c r="C5" s="12" t="inlineStr">
        <is>
          <t>Customer</t>
        </is>
      </c>
      <c r="D5" s="12" t="inlineStr">
        <is>
          <t>POST /v1/kyc/submit creates KycCase SUBMITTED + KycDocument URLs; sets profile.kycStatus.</t>
        </is>
      </c>
      <c r="E5" s="12" t="inlineStr">
        <is>
          <t>POST /v1/kyc/submit</t>
        </is>
      </c>
      <c r="F5" s="32" t="inlineStr">
        <is>
          <t>Done</t>
        </is>
      </c>
      <c r="G5" s="12" t="inlineStr">
        <is>
          <t>P0</t>
        </is>
      </c>
      <c r="H5" s="12" t="inlineStr">
        <is>
          <t>No MIME/size validation server-side.</t>
        </is>
      </c>
    </row>
    <row r="6" ht="42" customHeight="1">
      <c r="A6" s="14" t="inlineStr">
        <is>
          <t>09.02</t>
        </is>
      </c>
      <c r="B6" s="14" t="inlineStr">
        <is>
          <t>Signed upload slots</t>
        </is>
      </c>
      <c r="C6" s="14" t="inlineStr">
        <is>
          <t>Customer</t>
        </is>
      </c>
      <c r="D6" s="14" t="inlineStr">
        <is>
          <t>POST /v1/kyc/uploads echoes url/kind — does not mint Cloudinary/S3 signature.</t>
        </is>
      </c>
      <c r="E6" s="14" t="inlineStr">
        <is>
          <t>POST /v1/kyc/uploads</t>
        </is>
      </c>
      <c r="F6" s="13" t="inlineStr">
        <is>
          <t>In Progress</t>
        </is>
      </c>
      <c r="G6" s="14" t="inlineStr">
        <is>
          <t>P0</t>
        </is>
      </c>
      <c r="H6" s="14" t="inlineStr">
        <is>
          <t>Issue signed upload; never accept arbitrary URLs in prod.</t>
        </is>
      </c>
    </row>
    <row r="7" ht="42" customHeight="1">
      <c r="A7" s="12" t="inlineStr">
        <is>
          <t>09.03</t>
        </is>
      </c>
      <c r="B7" s="12" t="inlineStr">
        <is>
          <t>My KYC</t>
        </is>
      </c>
      <c r="C7" s="12" t="inlineStr">
        <is>
          <t>Customer</t>
        </is>
      </c>
      <c r="D7" s="12" t="inlineStr">
        <is>
          <t>GET /v1/me/kyc with documents + zoho.</t>
        </is>
      </c>
      <c r="E7" s="12" t="inlineStr">
        <is>
          <t>GET /v1/me/kyc · Kyc.jsx</t>
        </is>
      </c>
      <c r="F7" s="32" t="inlineStr">
        <is>
          <t>Done</t>
        </is>
      </c>
      <c r="G7" s="12" t="inlineStr">
        <is>
          <t>P0</t>
        </is>
      </c>
      <c r="H7" s="12" t="inlineStr"/>
    </row>
    <row r="8" ht="42" customHeight="1">
      <c r="A8" s="14" t="inlineStr">
        <is>
          <t>09.04</t>
        </is>
      </c>
      <c r="B8" s="14" t="inlineStr">
        <is>
          <t>Admin KYC queue + decision</t>
        </is>
      </c>
      <c r="C8" s="14" t="inlineStr">
        <is>
          <t>Admin</t>
        </is>
      </c>
      <c r="D8" s="14" t="inlineStr">
        <is>
          <t>GET /v1/admin/kyc; POST decision APPROVED/REJECTED; on approve calls booking kyc-approved.</t>
        </is>
      </c>
      <c r="E8" s="14" t="inlineStr">
        <is>
          <t xml:space="preserve"> /v1/admin/kyc · apps/admin/app/kyc</t>
        </is>
      </c>
      <c r="F8" s="32" t="inlineStr">
        <is>
          <t>Done</t>
        </is>
      </c>
      <c r="G8" s="14" t="inlineStr">
        <is>
          <t>P0</t>
        </is>
      </c>
      <c r="H8" s="14" t="inlineStr">
        <is>
          <t>No UNDER_REVIEW state transition or request-reupload per doc.</t>
        </is>
      </c>
    </row>
    <row r="9" ht="42" customHeight="1">
      <c r="A9" s="12" t="inlineStr">
        <is>
          <t>09.05</t>
        </is>
      </c>
      <c r="B9" s="12" t="inlineStr">
        <is>
          <t>Zoho Forms webhook</t>
        </is>
      </c>
      <c r="C9" s="12" t="inlineStr">
        <is>
          <t>System</t>
        </is>
      </c>
      <c r="D9" s="12" t="inlineStr">
        <is>
          <t>POST /v1/webhooks/zoho-form upserts user by email, attaches latest awaiting booking, stores raw ZohoSubmission.</t>
        </is>
      </c>
      <c r="E9" s="12" t="inlineStr">
        <is>
          <t>POST /v1/webhooks/zoho-form</t>
        </is>
      </c>
      <c r="F9" s="13" t="inlineStr">
        <is>
          <t>In Progress</t>
        </is>
      </c>
      <c r="G9" s="12" t="inlineStr">
        <is>
          <t>P0</t>
        </is>
      </c>
      <c r="H9" s="12" t="inlineStr">
        <is>
          <t>No HMAC; no attachment download to Cloudinary; weak booking match (email+status only).</t>
        </is>
      </c>
    </row>
    <row r="10" ht="42" customHeight="1">
      <c r="A10" s="14" t="inlineStr">
        <is>
          <t>09.06</t>
        </is>
      </c>
      <c r="B10" s="14" t="inlineStr">
        <is>
          <t>Aadhaar / PAN storage policy</t>
        </is>
      </c>
      <c r="C10" s="14" t="inlineStr">
        <is>
          <t>Backend</t>
        </is>
      </c>
      <c r="D10" s="14" t="inlineStr">
        <is>
          <t>Stores whatever URL/notes client sends. No hash+last4.</t>
        </is>
      </c>
      <c r="E10" s="14" t="inlineStr">
        <is>
          <t>KycDocument</t>
        </is>
      </c>
      <c r="F10" s="15" t="inlineStr">
        <is>
          <t>Not Started</t>
        </is>
      </c>
      <c r="G10" s="14" t="inlineStr">
        <is>
          <t>P0</t>
        </is>
      </c>
      <c r="H10" s="14" t="inlineStr">
        <is>
          <t>Do not log raw Aadhaar.</t>
        </is>
      </c>
    </row>
    <row r="11" ht="42" customHeight="1">
      <c r="A11" s="12" t="inlineStr">
        <is>
          <t>09.07</t>
        </is>
      </c>
      <c r="B11" s="12" t="inlineStr">
        <is>
          <t>DL expiry vs drop-off</t>
        </is>
      </c>
      <c r="C11" s="12" t="inlineStr">
        <is>
          <t>Backend</t>
        </is>
      </c>
      <c r="D11" s="12" t="inlineStr">
        <is>
          <t>Not validated.</t>
        </is>
      </c>
      <c r="E11" s="12" t="inlineStr">
        <is>
          <t>—</t>
        </is>
      </c>
      <c r="F11" s="15" t="inlineStr">
        <is>
          <t>Not Started</t>
        </is>
      </c>
      <c r="G11" s="12" t="inlineStr">
        <is>
          <t>P0</t>
        </is>
      </c>
      <c r="H11" s="12" t="inlineStr"/>
    </row>
    <row r="12" ht="42" customHeight="1">
      <c r="A12" s="14" t="inlineStr">
        <is>
          <t>09.08</t>
        </is>
      </c>
      <c r="B12" s="14" t="inlineStr">
        <is>
          <t>Reusable KYC 12 months</t>
        </is>
      </c>
      <c r="C12" s="14" t="inlineStr">
        <is>
          <t>Backend</t>
        </is>
      </c>
      <c r="D12" s="14" t="inlineStr">
        <is>
          <t>New case created every submit.</t>
        </is>
      </c>
      <c r="E12" s="14" t="inlineStr">
        <is>
          <t>—</t>
        </is>
      </c>
      <c r="F12" s="15" t="inlineStr">
        <is>
          <t>Not Started</t>
        </is>
      </c>
      <c r="G12" s="14" t="inlineStr">
        <is>
          <t>P1</t>
        </is>
      </c>
      <c r="H12" s="14" t="inlineStr"/>
    </row>
    <row r="13" ht="42" customHeight="1">
      <c r="A13" s="12" t="inlineStr">
        <is>
          <t>09.09</t>
        </is>
      </c>
      <c r="B13" s="12" t="inlineStr">
        <is>
          <t>Web KYC UI</t>
        </is>
      </c>
      <c r="C13" s="12" t="inlineStr">
        <is>
          <t>Customer</t>
        </is>
      </c>
      <c r="D13" s="12" t="inlineStr">
        <is>
          <t>Kyc.jsx on /account/kyc.</t>
        </is>
      </c>
      <c r="E13" s="12" t="inlineStr">
        <is>
          <t>apps/web/src/ms/pages/Kyc.jsx</t>
        </is>
      </c>
      <c r="F13" s="13" t="inlineStr">
        <is>
          <t>In Progress</t>
        </is>
      </c>
      <c r="G13" s="12" t="inlineStr">
        <is>
          <t>P0</t>
        </is>
      </c>
      <c r="H13" s="12" t="inlineStr">
        <is>
          <t>Complete doc kinds + rejection reason display.</t>
        </is>
      </c>
    </row>
    <row r="15">
      <c r="A15" s="3" t="inlineStr">
        <is>
          <t>Counts</t>
        </is>
      </c>
      <c r="B15" s="16" t="inlineStr">
        <is>
          <t>Done</t>
        </is>
      </c>
      <c r="C15" s="9" t="inlineStr">
        <is>
          <t>In Progress</t>
        </is>
      </c>
      <c r="D15" s="17" t="inlineStr">
        <is>
          <t>Under Review</t>
        </is>
      </c>
      <c r="E15" s="18" t="inlineStr">
        <is>
          <t>Not Started</t>
        </is>
      </c>
    </row>
    <row r="16">
      <c r="B16" s="19">
        <f>COUNTIF(F5:F13,"Done")</f>
        <v/>
      </c>
      <c r="C16" s="20">
        <f>COUNTIF(F5:F13,"In Progress")</f>
        <v/>
      </c>
      <c r="D16" s="21">
        <f>COUNTIF(F5:F13,"Under Review")</f>
        <v/>
      </c>
      <c r="E16" s="22">
        <f>COUNTIF(F5:F13,"Not Started")</f>
        <v/>
      </c>
    </row>
  </sheetData>
  <autoFilter ref="A4:H13"/>
  <mergeCells count="3">
    <mergeCell ref="A3:H3"/>
    <mergeCell ref="A2:H2"/>
    <mergeCell ref="A1:H1"/>
  </mergeCells>
  <dataValidations count="1">
    <dataValidation sqref="F5:F13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E07A3D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10 — Rental agreement &amp; Leegality</t>
        </is>
      </c>
    </row>
    <row r="2">
      <c r="A2" s="17" t="inlineStr">
        <is>
          <t>Service: document    |    Priority: P0    |    Overall status: Under Review</t>
        </is>
      </c>
    </row>
    <row r="3" ht="48" customHeight="1">
      <c r="A3" s="10" t="inlineStr">
        <is>
          <t>HTML template render + send envelope (mock without LEEGALITY_API_KEY) + webhook/manual mark-signed advances booking to CONFIRMED. Not a real PDF yet. Vendor integration needs staging review.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10.01</t>
        </is>
      </c>
      <c r="B5" s="12" t="inlineStr">
        <is>
          <t>Generate agreement</t>
        </is>
      </c>
      <c r="C5" s="12" t="inlineStr">
        <is>
          <t>Admin</t>
        </is>
      </c>
      <c r="D5" s="12" t="inlineStr">
        <is>
          <t>POST /v1/agreements/generate renders HTML placeholders (publicId, customer, dates, amount). pdfUrl is html://…</t>
        </is>
      </c>
      <c r="E5" s="12" t="inlineStr">
        <is>
          <t>POST /v1/agreements/generate</t>
        </is>
      </c>
      <c r="F5" s="13" t="inlineStr">
        <is>
          <t>In Progress</t>
        </is>
      </c>
      <c r="G5" s="12" t="inlineStr">
        <is>
          <t>P0</t>
        </is>
      </c>
      <c r="H5" s="12" t="inlineStr">
        <is>
          <t>Replace with PDFKit/HTML→PDF; vehicle + tariff + jurisdiction fields.</t>
        </is>
      </c>
    </row>
    <row r="6" ht="42" customHeight="1">
      <c r="A6" s="14" t="inlineStr">
        <is>
          <t>10.02</t>
        </is>
      </c>
      <c r="B6" s="14" t="inlineStr">
        <is>
          <t>Send to Leegality</t>
        </is>
      </c>
      <c r="C6" s="14" t="inlineStr">
        <is>
          <t>Admin</t>
        </is>
      </c>
      <c r="D6" s="14" t="inlineStr">
        <is>
          <t>POST /v1/agreements/:id/send-leegality creates SignatureEnvelope. Mock id if no API key; live POST is best-effort.</t>
        </is>
      </c>
      <c r="E6" s="14" t="inlineStr">
        <is>
          <t>POST /v1/agreements/:id/send-leegality</t>
        </is>
      </c>
      <c r="F6" s="31" t="inlineStr">
        <is>
          <t>Under Review</t>
        </is>
      </c>
      <c r="G6" s="14" t="inlineStr">
        <is>
          <t>P0</t>
        </is>
      </c>
      <c r="H6" s="14" t="inlineStr">
        <is>
          <t>Complete real Leegality payload + invite email match.</t>
        </is>
      </c>
    </row>
    <row r="7" ht="42" customHeight="1">
      <c r="A7" s="12" t="inlineStr">
        <is>
          <t>10.03</t>
        </is>
      </c>
      <c r="B7" s="12" t="inlineStr">
        <is>
          <t>Leegality webhook</t>
        </is>
      </c>
      <c r="C7" s="12" t="inlineStr">
        <is>
          <t>System</t>
        </is>
      </c>
      <c r="D7" s="12" t="inlineStr">
        <is>
          <t>POST /v1/webhooks/leegality updates envelope/agreement; on SIGN calls agreement-signed.</t>
        </is>
      </c>
      <c r="E7" s="12" t="inlineStr">
        <is>
          <t>POST /v1/webhooks/leegality</t>
        </is>
      </c>
      <c r="F7" s="13" t="inlineStr">
        <is>
          <t>In Progress</t>
        </is>
      </c>
      <c r="G7" s="12" t="inlineStr">
        <is>
          <t>P0</t>
        </is>
      </c>
      <c r="H7" s="12" t="inlineStr">
        <is>
          <t>Add signature/IP allowlist.</t>
        </is>
      </c>
    </row>
    <row r="8" ht="42" customHeight="1">
      <c r="A8" s="14" t="inlineStr">
        <is>
          <t>10.04</t>
        </is>
      </c>
      <c r="B8" s="14" t="inlineStr">
        <is>
          <t>Admin wet-ink / waiver</t>
        </is>
      </c>
      <c r="C8" s="14" t="inlineStr">
        <is>
          <t>Admin</t>
        </is>
      </c>
      <c r="D8" s="14" t="inlineStr">
        <is>
          <t>POST /v1/admin/agreements/:id/mark-signed treats as signed.</t>
        </is>
      </c>
      <c r="E8" s="14" t="inlineStr">
        <is>
          <t>POST /v1/admin/agreements/:id/mark-signed</t>
        </is>
      </c>
      <c r="F8" s="32" t="inlineStr">
        <is>
          <t>Done</t>
        </is>
      </c>
      <c r="G8" s="14" t="inlineStr">
        <is>
          <t>P0</t>
        </is>
      </c>
      <c r="H8" s="14" t="inlineStr">
        <is>
          <t>No void/re-issue endpoint.</t>
        </is>
      </c>
    </row>
    <row r="9" ht="42" customHeight="1">
      <c r="A9" s="12" t="inlineStr">
        <is>
          <t>10.05</t>
        </is>
      </c>
      <c r="B9" s="12" t="inlineStr">
        <is>
          <t>Customer download</t>
        </is>
      </c>
      <c r="C9" s="12" t="inlineStr">
        <is>
          <t>Customer</t>
        </is>
      </c>
      <c r="D9" s="12" t="inlineStr">
        <is>
          <t>GET /v1/me/agreements/:id owner or staff.</t>
        </is>
      </c>
      <c r="E9" s="12" t="inlineStr">
        <is>
          <t>GET /v1/me/agreements/:id</t>
        </is>
      </c>
      <c r="F9" s="13" t="inlineStr">
        <is>
          <t>In Progress</t>
        </is>
      </c>
      <c r="G9" s="12" t="inlineStr">
        <is>
          <t>P0</t>
        </is>
      </c>
      <c r="H9" s="12" t="inlineStr">
        <is>
          <t>No signed PDF file yet.</t>
        </is>
      </c>
    </row>
    <row r="10" ht="42" customHeight="1">
      <c r="A10" s="14" t="inlineStr">
        <is>
          <t>10.06</t>
        </is>
      </c>
      <c r="B10" s="14" t="inlineStr">
        <is>
          <t>Templates by city/product</t>
        </is>
      </c>
      <c r="C10" s="14" t="inlineStr">
        <is>
          <t>Admin</t>
        </is>
      </c>
      <c r="D10" s="14" t="inlineStr">
        <is>
          <t>AgreementTemplate matched by rentalType or null. No admin CRUD.</t>
        </is>
      </c>
      <c r="E10" s="14" t="inlineStr">
        <is>
          <t>schema AgreementTemplate</t>
        </is>
      </c>
      <c r="F10" s="13" t="inlineStr">
        <is>
          <t>In Progress</t>
        </is>
      </c>
      <c r="G10" s="14" t="inlineStr">
        <is>
          <t>P1</t>
        </is>
      </c>
      <c r="H10" s="14" t="inlineStr">
        <is>
          <t>Add CRUD + city dimension.</t>
        </is>
      </c>
    </row>
    <row r="11" ht="42" customHeight="1">
      <c r="A11" s="12" t="inlineStr">
        <is>
          <t>10.07</t>
        </is>
      </c>
      <c r="B11" s="12" t="inlineStr">
        <is>
          <t>Void and re-issue</t>
        </is>
      </c>
      <c r="C11" s="12" t="inlineStr">
        <is>
          <t>Admin</t>
        </is>
      </c>
      <c r="D11" s="12" t="inlineStr">
        <is>
          <t>POST /v1/admin/agreements/:id/void not implemented.</t>
        </is>
      </c>
      <c r="E11" s="12" t="inlineStr">
        <is>
          <t>—</t>
        </is>
      </c>
      <c r="F11" s="15" t="inlineStr">
        <is>
          <t>Not Started</t>
        </is>
      </c>
      <c r="G11" s="12" t="inlineStr">
        <is>
          <t>P1</t>
        </is>
      </c>
      <c r="H11" s="12" t="inlineStr"/>
    </row>
    <row r="13">
      <c r="A13" s="3" t="inlineStr">
        <is>
          <t>Counts</t>
        </is>
      </c>
      <c r="B13" s="16" t="inlineStr">
        <is>
          <t>Done</t>
        </is>
      </c>
      <c r="C13" s="9" t="inlineStr">
        <is>
          <t>In Progress</t>
        </is>
      </c>
      <c r="D13" s="17" t="inlineStr">
        <is>
          <t>Under Review</t>
        </is>
      </c>
      <c r="E13" s="18" t="inlineStr">
        <is>
          <t>Not Started</t>
        </is>
      </c>
    </row>
    <row r="14">
      <c r="B14" s="19">
        <f>COUNTIF(F5:F11,"Done")</f>
        <v/>
      </c>
      <c r="C14" s="20">
        <f>COUNTIF(F5:F11,"In Progress")</f>
        <v/>
      </c>
      <c r="D14" s="21">
        <f>COUNTIF(F5:F11,"Under Review")</f>
        <v/>
      </c>
      <c r="E14" s="22">
        <f>COUNTIF(F5:F11,"Not Started")</f>
        <v/>
      </c>
    </row>
  </sheetData>
  <autoFilter ref="A4:H11"/>
  <mergeCells count="3">
    <mergeCell ref="A3:H3"/>
    <mergeCell ref="A2:H2"/>
    <mergeCell ref="A1:H1"/>
  </mergeCells>
  <dataValidations count="1">
    <dataValidation sqref="F5:F11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11 — Vehicle &amp; fleet management</t>
        </is>
      </c>
    </row>
    <row r="2">
      <c r="A2" s="9" t="inlineStr">
        <is>
          <t>Service: fleet    |    Priority: P0    |    Overall status: In Progress</t>
        </is>
      </c>
    </row>
    <row r="3" ht="48" customHeight="1">
      <c r="A3" s="10" t="inlineStr">
        <is>
          <t>Cities, branches, vehicles CRUD and expiry read are live. Vehicle documents (RC/insurance/PUC) have a table but no admin CRUD. Assignment does not yet block on insurance dates.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11.01</t>
        </is>
      </c>
      <c r="B5" s="12" t="inlineStr">
        <is>
          <t>Public cities</t>
        </is>
      </c>
      <c r="C5" s="12" t="inlineStr">
        <is>
          <t>Customer</t>
        </is>
      </c>
      <c r="D5" s="12" t="inlineStr">
        <is>
          <t>GET /v1/public/cities for search.</t>
        </is>
      </c>
      <c r="E5" s="12" t="inlineStr">
        <is>
          <t>GET /v1/public/cities</t>
        </is>
      </c>
      <c r="F5" s="32" t="inlineStr">
        <is>
          <t>Done</t>
        </is>
      </c>
      <c r="G5" s="12" t="inlineStr">
        <is>
          <t>P0</t>
        </is>
      </c>
      <c r="H5" s="12" t="inlineStr"/>
    </row>
    <row r="6" ht="42" customHeight="1">
      <c r="A6" s="14" t="inlineStr">
        <is>
          <t>11.02</t>
        </is>
      </c>
      <c r="B6" s="14" t="inlineStr">
        <is>
          <t>City CRUD</t>
        </is>
      </c>
      <c r="C6" s="14" t="inlineStr">
        <is>
          <t>Admin</t>
        </is>
      </c>
      <c r="D6" s="14" t="inlineStr">
        <is>
          <t>GET/POST/PATCH/DELETE /v1/admin/cities.</t>
        </is>
      </c>
      <c r="E6" s="14" t="inlineStr">
        <is>
          <t xml:space="preserve"> /v1/admin/cities</t>
        </is>
      </c>
      <c r="F6" s="32" t="inlineStr">
        <is>
          <t>Done</t>
        </is>
      </c>
      <c r="G6" s="14" t="inlineStr">
        <is>
          <t>P0</t>
        </is>
      </c>
      <c r="H6" s="14" t="inlineStr">
        <is>
          <t>No admin cities page in Shell.</t>
        </is>
      </c>
    </row>
    <row r="7" ht="42" customHeight="1">
      <c r="A7" s="12" t="inlineStr">
        <is>
          <t>11.03</t>
        </is>
      </c>
      <c r="B7" s="12" t="inlineStr">
        <is>
          <t>Branch CRUD</t>
        </is>
      </c>
      <c r="C7" s="12" t="inlineStr">
        <is>
          <t>Admin</t>
        </is>
      </c>
      <c r="D7" s="12" t="inlineStr">
        <is>
          <t>GET/POST/PATCH/DELETE /v1/admin/branches?cityId=</t>
        </is>
      </c>
      <c r="E7" s="12" t="inlineStr">
        <is>
          <t xml:space="preserve"> /v1/admin/branches</t>
        </is>
      </c>
      <c r="F7" s="32" t="inlineStr">
        <is>
          <t>Done</t>
        </is>
      </c>
      <c r="G7" s="12" t="inlineStr">
        <is>
          <t>P0</t>
        </is>
      </c>
      <c r="H7" s="12" t="inlineStr">
        <is>
          <t>Same — API only in new admin.</t>
        </is>
      </c>
    </row>
    <row r="8" ht="42" customHeight="1">
      <c r="A8" s="14" t="inlineStr">
        <is>
          <t>11.04</t>
        </is>
      </c>
      <c r="B8" s="14" t="inlineStr">
        <is>
          <t>Vehicle CRUD</t>
        </is>
      </c>
      <c r="C8" s="14" t="inlineStr">
        <is>
          <t>Admin</t>
        </is>
      </c>
      <c r="D8" s="14" t="inlineStr">
        <is>
          <t>Full CRUD; list includes model, branch, partner. Status/branch/odometer/partner on patch.</t>
        </is>
      </c>
      <c r="E8" s="14" t="inlineStr">
        <is>
          <t xml:space="preserve"> /v1/admin/vehicles · apps/admin/app/vehicles</t>
        </is>
      </c>
      <c r="F8" s="32" t="inlineStr">
        <is>
          <t>Done</t>
        </is>
      </c>
      <c r="G8" s="14" t="inlineStr">
        <is>
          <t>P0</t>
        </is>
      </c>
      <c r="H8" s="14" t="inlineStr">
        <is>
          <t>Registration unique at DB; no transfer-job entity.</t>
        </is>
      </c>
    </row>
    <row r="9" ht="42" customHeight="1">
      <c r="A9" s="12" t="inlineStr">
        <is>
          <t>11.05</t>
        </is>
      </c>
      <c r="B9" s="12" t="inlineStr">
        <is>
          <t>Move vehicle between branches</t>
        </is>
      </c>
      <c r="C9" s="12" t="inlineStr">
        <is>
          <t>Admin</t>
        </is>
      </c>
      <c r="D9" s="12" t="inlineStr">
        <is>
          <t>PATCH vehicle.branchId (also drop-branch on return).</t>
        </is>
      </c>
      <c r="E9" s="12" t="inlineStr">
        <is>
          <t>PATCH /v1/admin/vehicles/:id</t>
        </is>
      </c>
      <c r="F9" s="13" t="inlineStr">
        <is>
          <t>In Progress</t>
        </is>
      </c>
      <c r="G9" s="12" t="inlineStr">
        <is>
          <t>P1</t>
        </is>
      </c>
      <c r="H9" s="12" t="inlineStr">
        <is>
          <t>No POST transfer-branch with audit/task.</t>
        </is>
      </c>
    </row>
    <row r="10" ht="42" customHeight="1">
      <c r="A10" s="14" t="inlineStr">
        <is>
          <t>11.06</t>
        </is>
      </c>
      <c r="B10" s="14" t="inlineStr">
        <is>
          <t>Document expiry alerts</t>
        </is>
      </c>
      <c r="C10" s="14" t="inlineStr">
        <is>
          <t>Admin</t>
        </is>
      </c>
      <c r="D10" s="14" t="inlineStr">
        <is>
          <t>GET /v1/admin/vehicles/expiries — documents expiring in 30 days.</t>
        </is>
      </c>
      <c r="E10" s="14" t="inlineStr">
        <is>
          <t>GET /v1/admin/vehicles/expiries</t>
        </is>
      </c>
      <c r="F10" s="13" t="inlineStr">
        <is>
          <t>In Progress</t>
        </is>
      </c>
      <c r="G10" s="14" t="inlineStr">
        <is>
          <t>P1</t>
        </is>
      </c>
      <c r="H10" s="14" t="inlineStr">
        <is>
          <t>No VehicleDocument create/update API.</t>
        </is>
      </c>
    </row>
    <row r="11" ht="42" customHeight="1">
      <c r="A11" s="12" t="inlineStr">
        <is>
          <t>11.07</t>
        </is>
      </c>
      <c r="B11" s="12" t="inlineStr">
        <is>
          <t>RC / insurance / PUC files</t>
        </is>
      </c>
      <c r="C11" s="12" t="inlineStr">
        <is>
          <t>Admin</t>
        </is>
      </c>
      <c r="D11" s="12" t="inlineStr">
        <is>
          <t>VehicleDocument model only.</t>
        </is>
      </c>
      <c r="E11" s="12" t="inlineStr">
        <is>
          <t>schema VehicleDocument</t>
        </is>
      </c>
      <c r="F11" s="15" t="inlineStr">
        <is>
          <t>Not Started</t>
        </is>
      </c>
      <c r="G11" s="12" t="inlineStr">
        <is>
          <t>P1</t>
        </is>
      </c>
      <c r="H11" s="12" t="inlineStr">
        <is>
          <t>CRUD + insurance-covers-booking check before assign.</t>
        </is>
      </c>
    </row>
    <row r="12" ht="42" customHeight="1">
      <c r="A12" s="14" t="inlineStr">
        <is>
          <t>11.08</t>
        </is>
      </c>
      <c r="B12" s="14" t="inlineStr">
        <is>
          <t>Partner-owned vehicles</t>
        </is>
      </c>
      <c r="C12" s="14" t="inlineStr">
        <is>
          <t>Admin</t>
        </is>
      </c>
      <c r="D12" s="14" t="inlineStr">
        <is>
          <t>ownerType/partnerId on create/update.</t>
        </is>
      </c>
      <c r="E12" s="14" t="inlineStr">
        <is>
          <t>createVehicle</t>
        </is>
      </c>
      <c r="F12" s="32" t="inlineStr">
        <is>
          <t>Done</t>
        </is>
      </c>
      <c r="G12" s="14" t="inlineStr">
        <is>
          <t>P2</t>
        </is>
      </c>
      <c r="H12" s="14" t="inlineStr">
        <is>
          <t>Contract-active check not enforced.</t>
        </is>
      </c>
    </row>
    <row r="14">
      <c r="A14" s="3" t="inlineStr">
        <is>
          <t>Counts</t>
        </is>
      </c>
      <c r="B14" s="16" t="inlineStr">
        <is>
          <t>Done</t>
        </is>
      </c>
      <c r="C14" s="9" t="inlineStr">
        <is>
          <t>In Progress</t>
        </is>
      </c>
      <c r="D14" s="17" t="inlineStr">
        <is>
          <t>Under Review</t>
        </is>
      </c>
      <c r="E14" s="18" t="inlineStr">
        <is>
          <t>Not Started</t>
        </is>
      </c>
    </row>
    <row r="15">
      <c r="B15" s="19">
        <f>COUNTIF(F5:F12,"Done")</f>
        <v/>
      </c>
      <c r="C15" s="20">
        <f>COUNTIF(F5:F12,"In Progress")</f>
        <v/>
      </c>
      <c r="D15" s="21">
        <f>COUNTIF(F5:F12,"Under Review")</f>
        <v/>
      </c>
      <c r="E15" s="22">
        <f>COUNTIF(F5:F12,"Not Started")</f>
        <v/>
      </c>
    </row>
  </sheetData>
  <autoFilter ref="A4:H12"/>
  <mergeCells count="3">
    <mergeCell ref="A3:H3"/>
    <mergeCell ref="A2:H2"/>
    <mergeCell ref="A1:H1"/>
  </mergeCells>
  <dataValidations count="1">
    <dataValidation sqref="F5:F12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12 — Maintenance &amp; workshop</t>
        </is>
      </c>
    </row>
    <row r="2">
      <c r="A2" s="9" t="inlineStr">
        <is>
          <t>Service: fleet    |    Priority: P2    |    Overall status: In Progress</t>
        </is>
      </c>
    </row>
    <row r="3" ht="48" customHeight="1">
      <c r="A3" s="10" t="inlineStr">
        <is>
          <t>Creating a maintenance job writes an availability block so search will not sell that car. Complete-job, parts, workshop CRUD, and admin UI are not built. After-MVP.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12.01</t>
        </is>
      </c>
      <c r="B5" s="12" t="inlineStr">
        <is>
          <t>Create maintenance job + block</t>
        </is>
      </c>
      <c r="C5" s="12" t="inlineStr">
        <is>
          <t>Admin</t>
        </is>
      </c>
      <c r="D5" s="12" t="inlineStr">
        <is>
          <t>POST /v1/admin/maintenance-jobs creates job and AvailabilityBlock reason MAINT:id.</t>
        </is>
      </c>
      <c r="E5" s="12" t="inlineStr">
        <is>
          <t>POST /v1/admin/maintenance-jobs</t>
        </is>
      </c>
      <c r="F5" s="32" t="inlineStr">
        <is>
          <t>Done</t>
        </is>
      </c>
      <c r="G5" s="12" t="inlineStr">
        <is>
          <t>P2</t>
        </is>
      </c>
      <c r="H5" s="12" t="inlineStr">
        <is>
          <t>Does not stop overlap with ONGOING booking.</t>
        </is>
      </c>
    </row>
    <row r="6" ht="42" customHeight="1">
      <c r="A6" s="14" t="inlineStr">
        <is>
          <t>12.02</t>
        </is>
      </c>
      <c r="B6" s="14" t="inlineStr">
        <is>
          <t>List / delete jobs</t>
        </is>
      </c>
      <c r="C6" s="14" t="inlineStr">
        <is>
          <t>Admin</t>
        </is>
      </c>
      <c r="D6" s="14" t="inlineStr">
        <is>
          <t>GET + DELETE. Delete may leave the availability block behind.</t>
        </is>
      </c>
      <c r="E6" s="14" t="inlineStr">
        <is>
          <t>GET/DELETE /v1/admin/maintenance-jobs</t>
        </is>
      </c>
      <c r="F6" s="13" t="inlineStr">
        <is>
          <t>In Progress</t>
        </is>
      </c>
      <c r="G6" s="14" t="inlineStr">
        <is>
          <t>P2</t>
        </is>
      </c>
      <c r="H6" s="14" t="inlineStr">
        <is>
          <t>Delete should release MAINT: block; PATCH missing.</t>
        </is>
      </c>
    </row>
    <row r="7" ht="42" customHeight="1">
      <c r="A7" s="12" t="inlineStr">
        <is>
          <t>12.03</t>
        </is>
      </c>
      <c r="B7" s="12" t="inlineStr">
        <is>
          <t>Complete job → AVAILABLE</t>
        </is>
      </c>
      <c r="C7" s="12" t="inlineStr">
        <is>
          <t>Admin</t>
        </is>
      </c>
      <c r="D7" s="12" t="inlineStr">
        <is>
          <t>POST .../complete not implemented.</t>
        </is>
      </c>
      <c r="E7" s="12" t="inlineStr">
        <is>
          <t>—</t>
        </is>
      </c>
      <c r="F7" s="15" t="inlineStr">
        <is>
          <t>Not Started</t>
        </is>
      </c>
      <c r="G7" s="12" t="inlineStr">
        <is>
          <t>P2</t>
        </is>
      </c>
      <c r="H7" s="12" t="inlineStr">
        <is>
          <t>Require odometer + cost.</t>
        </is>
      </c>
    </row>
    <row r="8" ht="42" customHeight="1">
      <c r="A8" s="14" t="inlineStr">
        <is>
          <t>12.04</t>
        </is>
      </c>
      <c r="B8" s="14" t="inlineStr">
        <is>
          <t>Parts / labour</t>
        </is>
      </c>
      <c r="C8" s="14" t="inlineStr">
        <is>
          <t>Admin</t>
        </is>
      </c>
      <c r="D8" s="14" t="inlineStr">
        <is>
          <t>MaintenancePart model unused in API.</t>
        </is>
      </c>
      <c r="E8" s="14" t="inlineStr">
        <is>
          <t>schema MaintenancePart</t>
        </is>
      </c>
      <c r="F8" s="15" t="inlineStr">
        <is>
          <t>Not Started</t>
        </is>
      </c>
      <c r="G8" s="14" t="inlineStr">
        <is>
          <t>P2</t>
        </is>
      </c>
      <c r="H8" s="14" t="inlineStr"/>
    </row>
    <row r="9" ht="42" customHeight="1">
      <c r="A9" s="12" t="inlineStr">
        <is>
          <t>12.05</t>
        </is>
      </c>
      <c r="B9" s="12" t="inlineStr">
        <is>
          <t>Workshop master</t>
        </is>
      </c>
      <c r="C9" s="12" t="inlineStr">
        <is>
          <t>Admin</t>
        </is>
      </c>
      <c r="D9" s="12" t="inlineStr">
        <is>
          <t>Workshop model, no CRUD.</t>
        </is>
      </c>
      <c r="E9" s="12" t="inlineStr">
        <is>
          <t>schema Workshop</t>
        </is>
      </c>
      <c r="F9" s="15" t="inlineStr">
        <is>
          <t>Not Started</t>
        </is>
      </c>
      <c r="G9" s="12" t="inlineStr">
        <is>
          <t>P2</t>
        </is>
      </c>
      <c r="H9" s="12" t="inlineStr"/>
    </row>
    <row r="10" ht="42" customHeight="1">
      <c r="A10" s="14" t="inlineStr">
        <is>
          <t>12.06</t>
        </is>
      </c>
      <c r="B10" s="14" t="inlineStr">
        <is>
          <t>Admin maintenance screen</t>
        </is>
      </c>
      <c r="C10" s="14" t="inlineStr">
        <is>
          <t>Admin</t>
        </is>
      </c>
      <c r="D10" s="14" t="inlineStr">
        <is>
          <t>Not in admin Shell nav.</t>
        </is>
      </c>
      <c r="E10" s="14" t="inlineStr">
        <is>
          <t>apps/admin/components/Shell.jsx</t>
        </is>
      </c>
      <c r="F10" s="15" t="inlineStr">
        <is>
          <t>Not Started</t>
        </is>
      </c>
      <c r="G10" s="14" t="inlineStr">
        <is>
          <t>P2</t>
        </is>
      </c>
      <c r="H10" s="14" t="inlineStr"/>
    </row>
    <row r="12">
      <c r="A12" s="3" t="inlineStr">
        <is>
          <t>Counts</t>
        </is>
      </c>
      <c r="B12" s="16" t="inlineStr">
        <is>
          <t>Done</t>
        </is>
      </c>
      <c r="C12" s="9" t="inlineStr">
        <is>
          <t>In Progress</t>
        </is>
      </c>
      <c r="D12" s="17" t="inlineStr">
        <is>
          <t>Under Review</t>
        </is>
      </c>
      <c r="E12" s="18" t="inlineStr">
        <is>
          <t>Not Started</t>
        </is>
      </c>
    </row>
    <row r="13">
      <c r="B13" s="19">
        <f>COUNTIF(F5:F10,"Done")</f>
        <v/>
      </c>
      <c r="C13" s="20">
        <f>COUNTIF(F5:F10,"In Progress")</f>
        <v/>
      </c>
      <c r="D13" s="21">
        <f>COUNTIF(F5:F10,"Under Review")</f>
        <v/>
      </c>
      <c r="E13" s="22">
        <f>COUNTIF(F5:F10,"Not Started")</f>
        <v/>
      </c>
    </row>
  </sheetData>
  <autoFilter ref="A4:H10"/>
  <mergeCells count="3">
    <mergeCell ref="A3:H3"/>
    <mergeCell ref="A2:H2"/>
    <mergeCell ref="A1:H1"/>
  </mergeCells>
  <dataValidations count="1">
    <dataValidation sqref="F5:F10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13 — Handover &amp; return inspection</t>
        </is>
      </c>
    </row>
    <row r="2">
      <c r="A2" s="9" t="inlineStr">
        <is>
          <t>Service: fleet    |    Priority: P1    |    Overall status: In Progress</t>
        </is>
      </c>
    </row>
    <row r="3" ht="48" customHeight="1">
      <c r="A3" s="10" t="inlineStr">
        <is>
          <t>Minimal handover/return APIs store odometer, fuel, photos, damages and move booking ONGOING → COMPLETED. Vehicle returns to drop branch and partner ledger is posted. Deposit auto-release and full damage matrix are not done. Delivery-exec app is out of scope.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13.01</t>
        </is>
      </c>
      <c r="B5" s="12" t="inlineStr">
        <is>
          <t>Handover inspection</t>
        </is>
      </c>
      <c r="C5" s="12" t="inlineStr">
        <is>
          <t>Admin</t>
        </is>
      </c>
      <c r="D5" s="12" t="inlineStr">
        <is>
          <t>POST /v1/admin/bookings/:id/handover creates Inspection HANDOVER + photos; booking ONGOING; vehicle ON_TRIP.</t>
        </is>
      </c>
      <c r="E5" s="12" t="inlineStr">
        <is>
          <t>POST /v1/admin/bookings/:id/handover</t>
        </is>
      </c>
      <c r="F5" s="32" t="inlineStr">
        <is>
          <t>Done</t>
        </is>
      </c>
      <c r="G5" s="12" t="inlineStr">
        <is>
          <t>P1</t>
        </is>
      </c>
      <c r="H5" s="12" t="inlineStr">
        <is>
          <t>Does not require CONFIRMED + signed agreement.</t>
        </is>
      </c>
    </row>
    <row r="6" ht="42" customHeight="1">
      <c r="A6" s="14" t="inlineStr">
        <is>
          <t>13.02</t>
        </is>
      </c>
      <c r="B6" s="14" t="inlineStr">
        <is>
          <t>Return inspection</t>
        </is>
      </c>
      <c r="C6" s="14" t="inlineStr">
        <is>
          <t>Admin</t>
        </is>
      </c>
      <c r="D6" s="14" t="inlineStr">
        <is>
          <t>POST .../return creates RETURN inspection, optional damages, booking COMPLETED, vehicle AVAILABLE at dropBranchId, releases availability, posts partner ledger.</t>
        </is>
      </c>
      <c r="E6" s="14" t="inlineStr">
        <is>
          <t>POST /v1/admin/bookings/:id/return</t>
        </is>
      </c>
      <c r="F6" s="32" t="inlineStr">
        <is>
          <t>Done</t>
        </is>
      </c>
      <c r="G6" s="14" t="inlineStr">
        <is>
          <t>P1</t>
        </is>
      </c>
      <c r="H6" s="14" t="inlineStr">
        <is>
          <t>No odometer &gt;= handover check; skips RETURN_PENDING.</t>
        </is>
      </c>
    </row>
    <row r="7" ht="42" customHeight="1">
      <c r="A7" s="12" t="inlineStr">
        <is>
          <t>13.03</t>
        </is>
      </c>
      <c r="B7" s="12" t="inlineStr">
        <is>
          <t>Damage line items</t>
        </is>
      </c>
      <c r="C7" s="12" t="inlineStr">
        <is>
          <t>Admin</t>
        </is>
      </c>
      <c r="D7" s="12" t="inlineStr">
        <is>
          <t>Damages nested on return body → DamageCharge.</t>
        </is>
      </c>
      <c r="E7" s="12" t="inlineStr">
        <is>
          <t>returnVehicle damages[]</t>
        </is>
      </c>
      <c r="F7" s="13" t="inlineStr">
        <is>
          <t>In Progress</t>
        </is>
      </c>
      <c r="G7" s="12" t="inlineStr">
        <is>
          <t>P1</t>
        </is>
      </c>
      <c r="H7" s="12" t="inlineStr">
        <is>
          <t>Does not create Payment EXTRA or block partner payout.</t>
        </is>
      </c>
    </row>
    <row r="8" ht="42" customHeight="1">
      <c r="A8" s="14" t="inlineStr">
        <is>
          <t>13.04</t>
        </is>
      </c>
      <c r="B8" s="14" t="inlineStr">
        <is>
          <t>Dedicated damage API</t>
        </is>
      </c>
      <c r="C8" s="14" t="inlineStr">
        <is>
          <t>Admin</t>
        </is>
      </c>
      <c r="D8" s="14" t="inlineStr">
        <is>
          <t>POST /v1/admin/inspections/:id/damages missing.</t>
        </is>
      </c>
      <c r="E8" s="14" t="inlineStr">
        <is>
          <t>—</t>
        </is>
      </c>
      <c r="F8" s="15" t="inlineStr">
        <is>
          <t>Not Started</t>
        </is>
      </c>
      <c r="G8" s="14" t="inlineStr">
        <is>
          <t>P1</t>
        </is>
      </c>
      <c r="H8" s="14" t="inlineStr"/>
    </row>
    <row r="9" ht="42" customHeight="1">
      <c r="A9" s="12" t="inlineStr">
        <is>
          <t>13.05</t>
        </is>
      </c>
      <c r="B9" s="12" t="inlineStr">
        <is>
          <t>Deposit release on closed return</t>
        </is>
      </c>
      <c r="C9" s="12" t="inlineStr">
        <is>
          <t>Finance</t>
        </is>
      </c>
      <c r="D9" s="12" t="inlineStr">
        <is>
          <t>Not triggered from fleet.</t>
        </is>
      </c>
      <c r="E9" s="12" t="inlineStr">
        <is>
          <t>—</t>
        </is>
      </c>
      <c r="F9" s="15" t="inlineStr">
        <is>
          <t>Not Started</t>
        </is>
      </c>
      <c r="G9" s="12" t="inlineStr">
        <is>
          <t>P1</t>
        </is>
      </c>
      <c r="H9" s="12" t="inlineStr">
        <is>
          <t>Event to payment-service.</t>
        </is>
      </c>
    </row>
    <row r="10" ht="42" customHeight="1">
      <c r="A10" s="14" t="inlineStr">
        <is>
          <t>13.06</t>
        </is>
      </c>
      <c r="B10" s="14" t="inlineStr">
        <is>
          <t>Customer acknowledge checklist</t>
        </is>
      </c>
      <c r="C10" s="14" t="inlineStr">
        <is>
          <t>Customer</t>
        </is>
      </c>
      <c r="D10" s="14" t="inlineStr">
        <is>
          <t>Out of MVP; not built.</t>
        </is>
      </c>
      <c r="E10" s="14" t="inlineStr">
        <is>
          <t>—</t>
        </is>
      </c>
      <c r="F10" s="15" t="inlineStr">
        <is>
          <t>Not Started</t>
        </is>
      </c>
      <c r="G10" s="14" t="inlineStr">
        <is>
          <t>P2</t>
        </is>
      </c>
      <c r="H10" s="14" t="inlineStr"/>
    </row>
    <row r="11" ht="42" customHeight="1">
      <c r="A11" s="12" t="inlineStr">
        <is>
          <t>13.07</t>
        </is>
      </c>
      <c r="B11" s="12" t="inlineStr">
        <is>
          <t>Admin handover UI</t>
        </is>
      </c>
      <c r="C11" s="12" t="inlineStr">
        <is>
          <t>Admin</t>
        </is>
      </c>
      <c r="D11" s="12" t="inlineStr">
        <is>
          <t>No inspections page in Shell; can only call API.</t>
        </is>
      </c>
      <c r="E11" s="12" t="inlineStr">
        <is>
          <t>—</t>
        </is>
      </c>
      <c r="F11" s="13" t="inlineStr">
        <is>
          <t>In Progress</t>
        </is>
      </c>
      <c r="G11" s="12" t="inlineStr">
        <is>
          <t>P1</t>
        </is>
      </c>
      <c r="H11" s="12" t="inlineStr">
        <is>
          <t>Add booking-detail actions.</t>
        </is>
      </c>
    </row>
    <row r="13">
      <c r="A13" s="3" t="inlineStr">
        <is>
          <t>Counts</t>
        </is>
      </c>
      <c r="B13" s="16" t="inlineStr">
        <is>
          <t>Done</t>
        </is>
      </c>
      <c r="C13" s="9" t="inlineStr">
        <is>
          <t>In Progress</t>
        </is>
      </c>
      <c r="D13" s="17" t="inlineStr">
        <is>
          <t>Under Review</t>
        </is>
      </c>
      <c r="E13" s="18" t="inlineStr">
        <is>
          <t>Not Started</t>
        </is>
      </c>
    </row>
    <row r="14">
      <c r="B14" s="19">
        <f>COUNTIF(F5:F11,"Done")</f>
        <v/>
      </c>
      <c r="C14" s="20">
        <f>COUNTIF(F5:F11,"In Progress")</f>
        <v/>
      </c>
      <c r="D14" s="21">
        <f>COUNTIF(F5:F11,"Under Review")</f>
        <v/>
      </c>
      <c r="E14" s="22">
        <f>COUNTIF(F5:F11,"Not Started")</f>
        <v/>
      </c>
    </row>
  </sheetData>
  <autoFilter ref="A4:H11"/>
  <mergeCells count="3">
    <mergeCell ref="A3:H3"/>
    <mergeCell ref="A2:H2"/>
    <mergeCell ref="A1:H1"/>
  </mergeCells>
  <dataValidations count="1">
    <dataValidation sqref="F5:F11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14 — Driver &amp; chauffeur management</t>
        </is>
      </c>
    </row>
    <row r="2">
      <c r="A2" s="9" t="inlineStr">
        <is>
          <t>Service: fleet    |    Priority: P1    |    Overall status: In Progress</t>
        </is>
      </c>
    </row>
    <row r="3" ht="48" customHeight="1">
      <c r="A3" s="10" t="inlineStr">
        <is>
          <t>Driver CRUD + assign-to-booking work. Leave, availability calendar, DL validity, and single-assignment rules are not enforced. No driver marketplace (by design).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14.01</t>
        </is>
      </c>
      <c r="B5" s="12" t="inlineStr">
        <is>
          <t>Driver CRUD</t>
        </is>
      </c>
      <c r="C5" s="12" t="inlineStr">
        <is>
          <t>Admin</t>
        </is>
      </c>
      <c r="D5" s="12" t="inlineStr">
        <is>
          <t>GET/POST/PATCH/DELETE /v1/admin/drivers. Admin /drivers page.</t>
        </is>
      </c>
      <c r="E5" s="12" t="inlineStr">
        <is>
          <t xml:space="preserve"> /v1/admin/drivers · apps/admin/app/drivers</t>
        </is>
      </c>
      <c r="F5" s="32" t="inlineStr">
        <is>
          <t>Done</t>
        </is>
      </c>
      <c r="G5" s="12" t="inlineStr">
        <is>
          <t>P1</t>
        </is>
      </c>
      <c r="H5" s="12" t="inlineStr"/>
    </row>
    <row r="6" ht="42" customHeight="1">
      <c r="A6" s="14" t="inlineStr">
        <is>
          <t>14.02</t>
        </is>
      </c>
      <c r="B6" s="14" t="inlineStr">
        <is>
          <t>Assign to booking</t>
        </is>
      </c>
      <c r="C6" s="14" t="inlineStr">
        <is>
          <t>Admin</t>
        </is>
      </c>
      <c r="D6" s="14" t="inlineStr">
        <is>
          <t>POST assign-driver upserts DriverAssignment. Booking GET includes driver.</t>
        </is>
      </c>
      <c r="E6" s="14" t="inlineStr">
        <is>
          <t>POST /v1/admin/bookings/:id/assign-driver</t>
        </is>
      </c>
      <c r="F6" s="32" t="inlineStr">
        <is>
          <t>Done</t>
        </is>
      </c>
      <c r="G6" s="14" t="inlineStr">
        <is>
          <t>P1</t>
        </is>
      </c>
      <c r="H6" s="14" t="inlineStr">
        <is>
          <t>Customer UI does not show driver after assign.</t>
        </is>
      </c>
    </row>
    <row r="7" ht="42" customHeight="1">
      <c r="A7" s="12" t="inlineStr">
        <is>
          <t>14.03</t>
        </is>
      </c>
      <c r="B7" s="12" t="inlineStr">
        <is>
          <t>Driver documents</t>
        </is>
      </c>
      <c r="C7" s="12" t="inlineStr">
        <is>
          <t>Admin</t>
        </is>
      </c>
      <c r="D7" s="12" t="inlineStr">
        <is>
          <t>DriverDocument included on list; no upload/CRUD.</t>
        </is>
      </c>
      <c r="E7" s="12" t="inlineStr">
        <is>
          <t>schema DriverDocument</t>
        </is>
      </c>
      <c r="F7" s="13" t="inlineStr">
        <is>
          <t>In Progress</t>
        </is>
      </c>
      <c r="G7" s="12" t="inlineStr">
        <is>
          <t>P1</t>
        </is>
      </c>
      <c r="H7" s="12" t="inlineStr">
        <is>
          <t>DL valid-through-trip check.</t>
        </is>
      </c>
    </row>
    <row r="8" ht="42" customHeight="1">
      <c r="A8" s="14" t="inlineStr">
        <is>
          <t>14.04</t>
        </is>
      </c>
      <c r="B8" s="14" t="inlineStr">
        <is>
          <t>Leave / availability</t>
        </is>
      </c>
      <c r="C8" s="14" t="inlineStr">
        <is>
          <t>Admin</t>
        </is>
      </c>
      <c r="D8" s="14" t="inlineStr">
        <is>
          <t>DriverLeave model. GET /v1/admin/drivers/availability missing.</t>
        </is>
      </c>
      <c r="E8" s="14" t="inlineStr">
        <is>
          <t>schema DriverLeave</t>
        </is>
      </c>
      <c r="F8" s="15" t="inlineStr">
        <is>
          <t>Not Started</t>
        </is>
      </c>
      <c r="G8" s="14" t="inlineStr">
        <is>
          <t>P1</t>
        </is>
      </c>
      <c r="H8" s="14" t="inlineStr"/>
    </row>
    <row r="9" ht="42" customHeight="1">
      <c r="A9" s="12" t="inlineStr">
        <is>
          <t>14.05</t>
        </is>
      </c>
      <c r="B9" s="12" t="inlineStr">
        <is>
          <t>One ONGOING assignment</t>
        </is>
      </c>
      <c r="C9" s="12" t="inlineStr">
        <is>
          <t>Backend</t>
        </is>
      </c>
      <c r="D9" s="12" t="inlineStr">
        <is>
          <t>Not validated.</t>
        </is>
      </c>
      <c r="E9" s="12" t="inlineStr">
        <is>
          <t>—</t>
        </is>
      </c>
      <c r="F9" s="15" t="inlineStr">
        <is>
          <t>Not Started</t>
        </is>
      </c>
      <c r="G9" s="12" t="inlineStr">
        <is>
          <t>P1</t>
        </is>
      </c>
      <c r="H9" s="12" t="inlineStr"/>
    </row>
    <row r="11">
      <c r="A11" s="3" t="inlineStr">
        <is>
          <t>Counts</t>
        </is>
      </c>
      <c r="B11" s="16" t="inlineStr">
        <is>
          <t>Done</t>
        </is>
      </c>
      <c r="C11" s="9" t="inlineStr">
        <is>
          <t>In Progress</t>
        </is>
      </c>
      <c r="D11" s="17" t="inlineStr">
        <is>
          <t>Under Review</t>
        </is>
      </c>
      <c r="E11" s="18" t="inlineStr">
        <is>
          <t>Not Started</t>
        </is>
      </c>
    </row>
    <row r="12">
      <c r="B12" s="19">
        <f>COUNTIF(F5:F9,"Done")</f>
        <v/>
      </c>
      <c r="C12" s="20">
        <f>COUNTIF(F5:F9,"In Progress")</f>
        <v/>
      </c>
      <c r="D12" s="21">
        <f>COUNTIF(F5:F9,"Under Review")</f>
        <v/>
      </c>
      <c r="E12" s="22">
        <f>COUNTIF(F5:F9,"Not Started")</f>
        <v/>
      </c>
    </row>
  </sheetData>
  <autoFilter ref="A4:H9"/>
  <mergeCells count="3">
    <mergeCell ref="A3:H3"/>
    <mergeCell ref="A2:H2"/>
    <mergeCell ref="A1:H1"/>
  </mergeCells>
  <dataValidations count="1">
    <dataValidation sqref="F5:F9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15 — Partners, commission &amp; settlement</t>
        </is>
      </c>
    </row>
    <row r="2">
      <c r="A2" s="9" t="inlineStr">
        <is>
          <t>Service: partner    |    Priority: P2    |    Overall status: In Progress</t>
        </is>
      </c>
    </row>
    <row r="3" ht="48" customHeight="1">
      <c r="A3" s="10" t="inlineStr">
        <is>
          <t>Admin-only partner CRUD, commission rules, ledger on trip complete, settlement generate + mark-paid. No partner portal (confirmed exclusion). Open-damage hold and frozen-at-booking commission version still missing.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15.01</t>
        </is>
      </c>
      <c r="B5" s="12" t="inlineStr">
        <is>
          <t>Partner CRUD</t>
        </is>
      </c>
      <c r="C5" s="12" t="inlineStr">
        <is>
          <t>Admin</t>
        </is>
      </c>
      <c r="D5" s="12" t="inlineStr">
        <is>
          <t>GET/POST/PATCH/DELETE /v1/admin/partners. Admin /partners page.</t>
        </is>
      </c>
      <c r="E5" s="12" t="inlineStr">
        <is>
          <t xml:space="preserve"> /v1/admin/partners</t>
        </is>
      </c>
      <c r="F5" s="32" t="inlineStr">
        <is>
          <t>Done</t>
        </is>
      </c>
      <c r="G5" s="12" t="inlineStr">
        <is>
          <t>P2</t>
        </is>
      </c>
      <c r="H5" s="12" t="inlineStr"/>
    </row>
    <row r="6" ht="42" customHeight="1">
      <c r="A6" s="14" t="inlineStr">
        <is>
          <t>15.02</t>
        </is>
      </c>
      <c r="B6" s="14" t="inlineStr">
        <is>
          <t>Commission rules</t>
        </is>
      </c>
      <c r="C6" s="14" t="inlineStr">
        <is>
          <t>Admin</t>
        </is>
      </c>
      <c r="D6" s="14" t="inlineStr">
        <is>
          <t>PUT /v1/admin/partners/:id/commission-rules replaces rules (% bps + flat).</t>
        </is>
      </c>
      <c r="E6" s="14" t="inlineStr">
        <is>
          <t>PUT .../commission-rules</t>
        </is>
      </c>
      <c r="F6" s="32" t="inlineStr">
        <is>
          <t>Done</t>
        </is>
      </c>
      <c r="G6" s="14" t="inlineStr">
        <is>
          <t>P2</t>
        </is>
      </c>
      <c r="H6" s="14" t="inlineStr">
        <is>
          <t>Not snapshotted onto the booking at HOLD time.</t>
        </is>
      </c>
    </row>
    <row r="7" ht="42" customHeight="1">
      <c r="A7" s="12" t="inlineStr">
        <is>
          <t>15.03</t>
        </is>
      </c>
      <c r="B7" s="12" t="inlineStr">
        <is>
          <t>Ledger on trip complete</t>
        </is>
      </c>
      <c r="C7" s="12" t="inlineStr">
        <is>
          <t>System</t>
        </is>
      </c>
      <c r="D7" s="12" t="inlineStr">
        <is>
          <t>Return inspection calls /internal/ledger/trip-complete → TRIP_EARNING + COMMISSION.</t>
        </is>
      </c>
      <c r="E7" s="12" t="inlineStr">
        <is>
          <t>POST /internal/ledger/trip-complete</t>
        </is>
      </c>
      <c r="F7" s="32" t="inlineStr">
        <is>
          <t>Done</t>
        </is>
      </c>
      <c r="G7" s="12" t="inlineStr">
        <is>
          <t>P2</t>
        </is>
      </c>
      <c r="H7" s="12" t="inlineStr">
        <is>
          <t>Skipped if vehicle has no partnerId.</t>
        </is>
      </c>
    </row>
    <row r="8" ht="42" customHeight="1">
      <c r="A8" s="14" t="inlineStr">
        <is>
          <t>15.04</t>
        </is>
      </c>
      <c r="B8" s="14" t="inlineStr">
        <is>
          <t>View ledger</t>
        </is>
      </c>
      <c r="C8" s="14" t="inlineStr">
        <is>
          <t>Admin</t>
        </is>
      </c>
      <c r="D8" s="14" t="inlineStr">
        <is>
          <t>GET /v1/admin/partners/:id/ledger.</t>
        </is>
      </c>
      <c r="E8" s="14" t="inlineStr">
        <is>
          <t>GET .../ledger</t>
        </is>
      </c>
      <c r="F8" s="32" t="inlineStr">
        <is>
          <t>Done</t>
        </is>
      </c>
      <c r="G8" s="14" t="inlineStr">
        <is>
          <t>P2</t>
        </is>
      </c>
      <c r="H8" s="14" t="inlineStr"/>
    </row>
    <row r="9" ht="42" customHeight="1">
      <c r="A9" s="12" t="inlineStr">
        <is>
          <t>15.05</t>
        </is>
      </c>
      <c r="B9" s="12" t="inlineStr">
        <is>
          <t>Generate settlement</t>
        </is>
      </c>
      <c r="C9" s="12" t="inlineStr">
        <is>
          <t>Admin</t>
        </is>
      </c>
      <c r="D9" s="12" t="inlineStr">
        <is>
          <t>POST /v1/admin/settlements/generate sums ledger in period; unique partner+period.</t>
        </is>
      </c>
      <c r="E9" s="12" t="inlineStr">
        <is>
          <t>POST /v1/admin/settlements/generate</t>
        </is>
      </c>
      <c r="F9" s="32" t="inlineStr">
        <is>
          <t>Done</t>
        </is>
      </c>
      <c r="G9" s="12" t="inlineStr">
        <is>
          <t>P2</t>
        </is>
      </c>
      <c r="H9" s="12" t="inlineStr">
        <is>
          <t>Does not exclude open DamageCharge.</t>
        </is>
      </c>
    </row>
    <row r="10" ht="42" customHeight="1">
      <c r="A10" s="14" t="inlineStr">
        <is>
          <t>15.06</t>
        </is>
      </c>
      <c r="B10" s="14" t="inlineStr">
        <is>
          <t>Mark paid (UTR)</t>
        </is>
      </c>
      <c r="C10" s="14" t="inlineStr">
        <is>
          <t>Admin</t>
        </is>
      </c>
      <c r="D10" s="14" t="inlineStr">
        <is>
          <t>POST /v1/admin/settlements/:id/mark-paid.</t>
        </is>
      </c>
      <c r="E10" s="14" t="inlineStr">
        <is>
          <t>POST .../mark-paid</t>
        </is>
      </c>
      <c r="F10" s="13" t="inlineStr">
        <is>
          <t>In Progress</t>
        </is>
      </c>
      <c r="G10" s="14" t="inlineStr">
        <is>
          <t>P2</t>
        </is>
      </c>
      <c r="H10" s="14" t="inlineStr">
        <is>
          <t>Bank account required-before-pay not enforced.</t>
        </is>
      </c>
    </row>
    <row r="11" ht="42" customHeight="1">
      <c r="A11" s="12" t="inlineStr">
        <is>
          <t>15.07</t>
        </is>
      </c>
      <c r="B11" s="12" t="inlineStr">
        <is>
          <t>Partner self-service portal</t>
        </is>
      </c>
      <c r="C11" s="12" t="inlineStr">
        <is>
          <t>Partner</t>
        </is>
      </c>
      <c r="D11" s="12" t="inlineStr">
        <is>
          <t>Explicitly out of scope — admin manages partners.</t>
        </is>
      </c>
      <c r="E11" s="12" t="inlineStr">
        <is>
          <t>README Out of scope</t>
        </is>
      </c>
      <c r="F11" s="15" t="inlineStr">
        <is>
          <t>Not Started</t>
        </is>
      </c>
      <c r="G11" s="12" t="inlineStr">
        <is>
          <t>—</t>
        </is>
      </c>
      <c r="H11" s="12" t="inlineStr">
        <is>
          <t>Do not build.</t>
        </is>
      </c>
    </row>
    <row r="13">
      <c r="A13" s="3" t="inlineStr">
        <is>
          <t>Counts</t>
        </is>
      </c>
      <c r="B13" s="16" t="inlineStr">
        <is>
          <t>Done</t>
        </is>
      </c>
      <c r="C13" s="9" t="inlineStr">
        <is>
          <t>In Progress</t>
        </is>
      </c>
      <c r="D13" s="17" t="inlineStr">
        <is>
          <t>Under Review</t>
        </is>
      </c>
      <c r="E13" s="18" t="inlineStr">
        <is>
          <t>Not Started</t>
        </is>
      </c>
    </row>
    <row r="14">
      <c r="B14" s="19">
        <f>COUNTIF(F5:F11,"Done")</f>
        <v/>
      </c>
      <c r="C14" s="20">
        <f>COUNTIF(F5:F11,"In Progress")</f>
        <v/>
      </c>
      <c r="D14" s="21">
        <f>COUNTIF(F5:F11,"Under Review")</f>
        <v/>
      </c>
      <c r="E14" s="22">
        <f>COUNTIF(F5:F11,"Not Started")</f>
        <v/>
      </c>
    </row>
  </sheetData>
  <autoFilter ref="A4:H11"/>
  <mergeCells count="3">
    <mergeCell ref="A3:H3"/>
    <mergeCell ref="A2:H2"/>
    <mergeCell ref="A1:H1"/>
  </mergeCells>
  <dataValidations count="1">
    <dataValidation sqref="F5:F11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16 — Admin console, multi-city &amp; branch ops</t>
        </is>
      </c>
    </row>
    <row r="2">
      <c r="A2" s="9" t="inlineStr">
        <is>
          <t>Service: fleet + platform + apps/admin    |    Priority: P0–P1    |    Overall status: In Progress</t>
        </is>
      </c>
    </row>
    <row r="3" ht="48" customHeight="1">
      <c r="A3" s="10" t="inlineStr">
        <is>
          <t>New ops console (port 3001) has dashboard, bookings, cars, vehicles, drivers, KYC, customers, payments, partners, leads, offers, CMS, reports. City/Branch exist on entities. StaffScope table exists but there is no assign-scope API or query filtering. Old admin UI still lives inside apps/web /admin.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16.01</t>
        </is>
      </c>
      <c r="B5" s="12" t="inlineStr">
        <is>
          <t>Admin app shell</t>
        </is>
      </c>
      <c r="C5" s="12" t="inlineStr">
        <is>
          <t>Admin</t>
        </is>
      </c>
      <c r="D5" s="12" t="inlineStr">
        <is>
          <t>Next.js apps/admin with sidebar nav + token gate.</t>
        </is>
      </c>
      <c r="E5" s="12" t="inlineStr">
        <is>
          <t>apps/admin/components/Shell.jsx</t>
        </is>
      </c>
      <c r="F5" s="13" t="inlineStr">
        <is>
          <t>In Progress</t>
        </is>
      </c>
      <c r="G5" s="12" t="inlineStr">
        <is>
          <t>P0</t>
        </is>
      </c>
      <c r="H5" s="12" t="inlineStr">
        <is>
          <t>Missing cities/branches/staff/maintenance/inspections/tickets/notifications pages.</t>
        </is>
      </c>
    </row>
    <row r="6" ht="42" customHeight="1">
      <c r="A6" s="14" t="inlineStr">
        <is>
          <t>16.02</t>
        </is>
      </c>
      <c r="B6" s="14" t="inlineStr">
        <is>
          <t>Dashboard KPIs</t>
        </is>
      </c>
      <c r="C6" s="14" t="inlineStr">
        <is>
          <t>Admin</t>
        </is>
      </c>
      <c r="D6" s="14" t="inlineStr">
        <is>
          <t>GET /v1/admin/dashboard: bookings count, pending KYC, free vehicles, revenue, byStatus.</t>
        </is>
      </c>
      <c r="E6" s="14" t="inlineStr">
        <is>
          <t>GET /v1/admin/dashboard · app/page.jsx</t>
        </is>
      </c>
      <c r="F6" s="13" t="inlineStr">
        <is>
          <t>In Progress</t>
        </is>
      </c>
      <c r="G6" s="14" t="inlineStr">
        <is>
          <t>P1</t>
        </is>
      </c>
      <c r="H6" s="14" t="inlineStr">
        <is>
          <t>Spec also wants today’s handovers, overdue returns, pending signatures, failed payments, workshop — not included.</t>
        </is>
      </c>
    </row>
    <row r="7" ht="42" customHeight="1">
      <c r="A7" s="12" t="inlineStr">
        <is>
          <t>16.03</t>
        </is>
      </c>
      <c r="B7" s="12" t="inlineStr">
        <is>
          <t>City + branch on every entity</t>
        </is>
      </c>
      <c r="C7" s="12" t="inlineStr">
        <is>
          <t>Backend</t>
        </is>
      </c>
      <c r="D7" s="12" t="inlineStr">
        <is>
          <t>City/Branch models; vehicles/drivers/car models/bookings reference them.</t>
        </is>
      </c>
      <c r="E7" s="12" t="inlineStr">
        <is>
          <t>schema City Branch</t>
        </is>
      </c>
      <c r="F7" s="32" t="inlineStr">
        <is>
          <t>Done</t>
        </is>
      </c>
      <c r="G7" s="12" t="inlineStr">
        <is>
          <t>P0</t>
        </is>
      </c>
      <c r="H7" s="12" t="inlineStr"/>
    </row>
    <row r="8" ht="42" customHeight="1">
      <c r="A8" s="14" t="inlineStr">
        <is>
          <t>16.04</t>
        </is>
      </c>
      <c r="B8" s="14" t="inlineStr">
        <is>
          <t>StaffScope assign</t>
        </is>
      </c>
      <c r="C8" s="14" t="inlineStr">
        <is>
          <t>Admin</t>
        </is>
      </c>
      <c r="D8" s="14" t="inlineStr">
        <is>
          <t>StaffScope model. PUT /v1/admin/staff/:id/scope not implemented.</t>
        </is>
      </c>
      <c r="E8" s="14" t="inlineStr">
        <is>
          <t>schema StaffScope</t>
        </is>
      </c>
      <c r="F8" s="15" t="inlineStr">
        <is>
          <t>Not Started</t>
        </is>
      </c>
      <c r="G8" s="14" t="inlineStr">
        <is>
          <t>P1</t>
        </is>
      </c>
      <c r="H8" s="14" t="inlineStr">
        <is>
          <t>CITY_MANAGER / BRANCH_MANAGER filtering.</t>
        </is>
      </c>
    </row>
    <row r="9" ht="42" customHeight="1">
      <c r="A9" s="12" t="inlineStr">
        <is>
          <t>16.05</t>
        </is>
      </c>
      <c r="B9" s="12" t="inlineStr">
        <is>
          <t>Scope enforcement</t>
        </is>
      </c>
      <c r="C9" s="12" t="inlineStr">
        <is>
          <t>Backend</t>
        </is>
      </c>
      <c r="D9" s="12" t="inlineStr">
        <is>
          <t>Lists return all rows; SUPER_ADMIN bypass only on roles.</t>
        </is>
      </c>
      <c r="E9" s="12" t="inlineStr">
        <is>
          <t>lib/auth.ts</t>
        </is>
      </c>
      <c r="F9" s="15" t="inlineStr">
        <is>
          <t>Not Started</t>
        </is>
      </c>
      <c r="G9" s="12" t="inlineStr">
        <is>
          <t>P1</t>
        </is>
      </c>
      <c r="H9" s="12" t="inlineStr">
        <is>
          <t>Filter bookings/vehicles by x-city-id / x-branch-id.</t>
        </is>
      </c>
    </row>
    <row r="10" ht="42" customHeight="1">
      <c r="A10" s="14" t="inlineStr">
        <is>
          <t>16.06</t>
        </is>
      </c>
      <c r="B10" s="14" t="inlineStr">
        <is>
          <t>Legacy web admin</t>
        </is>
      </c>
      <c r="C10" s="14" t="inlineStr">
        <is>
          <t>Admin</t>
        </is>
      </c>
      <c r="D10" s="14" t="inlineStr">
        <is>
          <t>Ported AdminLayout still at /admin on the public site (blogs, form entries, users, rides).</t>
        </is>
      </c>
      <c r="E10" s="14" t="inlineStr">
        <is>
          <t>apps/web Admin/*</t>
        </is>
      </c>
      <c r="F10" s="13" t="inlineStr">
        <is>
          <t>In Progress</t>
        </is>
      </c>
      <c r="G10" s="14" t="inlineStr">
        <is>
          <t>P1</t>
        </is>
      </c>
      <c r="H10" s="14" t="inlineStr">
        <is>
          <t>Retire Firestore admin after cutover.</t>
        </is>
      </c>
    </row>
    <row r="12">
      <c r="A12" s="3" t="inlineStr">
        <is>
          <t>Counts</t>
        </is>
      </c>
      <c r="B12" s="16" t="inlineStr">
        <is>
          <t>Done</t>
        </is>
      </c>
      <c r="C12" s="9" t="inlineStr">
        <is>
          <t>In Progress</t>
        </is>
      </c>
      <c r="D12" s="17" t="inlineStr">
        <is>
          <t>Under Review</t>
        </is>
      </c>
      <c r="E12" s="18" t="inlineStr">
        <is>
          <t>Not Started</t>
        </is>
      </c>
    </row>
    <row r="13">
      <c r="B13" s="19">
        <f>COUNTIF(F5:F10,"Done")</f>
        <v/>
      </c>
      <c r="C13" s="20">
        <f>COUNTIF(F5:F10,"In Progress")</f>
        <v/>
      </c>
      <c r="D13" s="21">
        <f>COUNTIF(F5:F10,"Under Review")</f>
        <v/>
      </c>
      <c r="E13" s="22">
        <f>COUNTIF(F5:F10,"Not Started")</f>
        <v/>
      </c>
    </row>
  </sheetData>
  <autoFilter ref="A4:H10"/>
  <mergeCells count="3">
    <mergeCell ref="A3:H3"/>
    <mergeCell ref="A2:H2"/>
    <mergeCell ref="A1:H1"/>
  </mergeCells>
  <dataValidations count="1">
    <dataValidation sqref="F5:F10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17 — Finance, accounting &amp; reports</t>
        </is>
      </c>
    </row>
    <row r="2">
      <c r="A2" s="9" t="inlineStr">
        <is>
          <t>Service: platform + payment    |    Priority: P2    |    Overall status: In Progress</t>
        </is>
      </c>
    </row>
    <row r="3" ht="48" customHeight="1">
      <c r="A3" s="10" t="inlineStr">
        <is>
          <t>Basic revenue + GST report endpoints and an admin reports page. No CSV export, deposit/partner reports, or Razorpay recon queue. GST is a flat 18% on invoice create.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17.01</t>
        </is>
      </c>
      <c r="B5" s="12" t="inlineStr">
        <is>
          <t>Revenue report</t>
        </is>
      </c>
      <c r="C5" s="12" t="inlineStr">
        <is>
          <t>Admin</t>
        </is>
      </c>
      <c r="D5" s="12" t="inlineStr">
        <is>
          <t>GET /v1/admin/reports/:kind — non-gst kinds return SUCCESS payments + totalPaise.</t>
        </is>
      </c>
      <c r="E5" s="12" t="inlineStr">
        <is>
          <t>GET /v1/admin/reports/revenue</t>
        </is>
      </c>
      <c r="F5" s="13" t="inlineStr">
        <is>
          <t>In Progress</t>
        </is>
      </c>
      <c r="G5" s="12" t="inlineStr">
        <is>
          <t>P2</t>
        </is>
      </c>
      <c r="H5" s="12" t="inlineStr">
        <is>
          <t>No date-range or city filter; take 500.</t>
        </is>
      </c>
    </row>
    <row r="6" ht="42" customHeight="1">
      <c r="A6" s="14" t="inlineStr">
        <is>
          <t>17.02</t>
        </is>
      </c>
      <c r="B6" s="14" t="inlineStr">
        <is>
          <t>GST report</t>
        </is>
      </c>
      <c r="C6" s="14" t="inlineStr">
        <is>
          <t>Admin</t>
        </is>
      </c>
      <c r="D6" s="14" t="inlineStr">
        <is>
          <t>kind=gst sums invoice amount + gstPaise.</t>
        </is>
      </c>
      <c r="E6" s="14" t="inlineStr">
        <is>
          <t>GET /v1/admin/reports/gst</t>
        </is>
      </c>
      <c r="F6" s="13" t="inlineStr">
        <is>
          <t>In Progress</t>
        </is>
      </c>
      <c r="G6" s="14" t="inlineStr">
        <is>
          <t>P2</t>
        </is>
      </c>
      <c r="H6" s="14" t="inlineStr">
        <is>
          <t>Not a real GSTR pack.</t>
        </is>
      </c>
    </row>
    <row r="7" ht="42" customHeight="1">
      <c r="A7" s="12" t="inlineStr">
        <is>
          <t>17.03</t>
        </is>
      </c>
      <c r="B7" s="12" t="inlineStr">
        <is>
          <t>Bookings / deposits / partners reports</t>
        </is>
      </c>
      <c r="C7" s="12" t="inlineStr">
        <is>
          <t>Admin</t>
        </is>
      </c>
      <c r="D7" s="12" t="inlineStr">
        <is>
          <t>Documented routes not implemented as distinct kinds.</t>
        </is>
      </c>
      <c r="E7" s="12" t="inlineStr">
        <is>
          <t>docs/api-routes.md</t>
        </is>
      </c>
      <c r="F7" s="15" t="inlineStr">
        <is>
          <t>Not Started</t>
        </is>
      </c>
      <c r="G7" s="12" t="inlineStr">
        <is>
          <t>P2</t>
        </is>
      </c>
      <c r="H7" s="12" t="inlineStr"/>
    </row>
    <row r="8" ht="42" customHeight="1">
      <c r="A8" s="14" t="inlineStr">
        <is>
          <t>17.04</t>
        </is>
      </c>
      <c r="B8" s="14" t="inlineStr">
        <is>
          <t>CSV export + audit</t>
        </is>
      </c>
      <c r="C8" s="14" t="inlineStr">
        <is>
          <t>Admin</t>
        </is>
      </c>
      <c r="D8" s="14" t="inlineStr">
        <is>
          <t>Not implemented.</t>
        </is>
      </c>
      <c r="E8" s="14" t="inlineStr">
        <is>
          <t>—</t>
        </is>
      </c>
      <c r="F8" s="15" t="inlineStr">
        <is>
          <t>Not Started</t>
        </is>
      </c>
      <c r="G8" s="14" t="inlineStr">
        <is>
          <t>P1</t>
        </is>
      </c>
      <c r="H8" s="14" t="inlineStr">
        <is>
          <t>P1 in sprint notes for basic CSV.</t>
        </is>
      </c>
    </row>
    <row r="9" ht="42" customHeight="1">
      <c r="A9" s="12" t="inlineStr">
        <is>
          <t>17.05</t>
        </is>
      </c>
      <c r="B9" s="12" t="inlineStr">
        <is>
          <t>Admin reports UI</t>
        </is>
      </c>
      <c r="C9" s="12" t="inlineStr">
        <is>
          <t>Admin</t>
        </is>
      </c>
      <c r="D9" s="12" t="inlineStr">
        <is>
          <t>apps/admin/app/reports/page.jsx.</t>
        </is>
      </c>
      <c r="E9" s="12" t="inlineStr">
        <is>
          <t>apps/admin/app/reports</t>
        </is>
      </c>
      <c r="F9" s="13" t="inlineStr">
        <is>
          <t>In Progress</t>
        </is>
      </c>
      <c r="G9" s="12" t="inlineStr">
        <is>
          <t>P2</t>
        </is>
      </c>
      <c r="H9" s="12" t="inlineStr"/>
    </row>
    <row r="10" ht="42" customHeight="1">
      <c r="A10" s="14" t="inlineStr">
        <is>
          <t>17.06</t>
        </is>
      </c>
      <c r="B10" s="14" t="inlineStr">
        <is>
          <t>Razorpay vs internal mismatch</t>
        </is>
      </c>
      <c r="C10" s="14" t="inlineStr">
        <is>
          <t>Finance</t>
        </is>
      </c>
      <c r="D10" s="14" t="inlineStr">
        <is>
          <t>Not built.</t>
        </is>
      </c>
      <c r="E10" s="14" t="inlineStr">
        <is>
          <t>—</t>
        </is>
      </c>
      <c r="F10" s="15" t="inlineStr">
        <is>
          <t>Not Started</t>
        </is>
      </c>
      <c r="G10" s="14" t="inlineStr">
        <is>
          <t>P2</t>
        </is>
      </c>
      <c r="H10" s="14" t="inlineStr"/>
    </row>
    <row r="12">
      <c r="A12" s="3" t="inlineStr">
        <is>
          <t>Counts</t>
        </is>
      </c>
      <c r="B12" s="16" t="inlineStr">
        <is>
          <t>Done</t>
        </is>
      </c>
      <c r="C12" s="9" t="inlineStr">
        <is>
          <t>In Progress</t>
        </is>
      </c>
      <c r="D12" s="17" t="inlineStr">
        <is>
          <t>Under Review</t>
        </is>
      </c>
      <c r="E12" s="18" t="inlineStr">
        <is>
          <t>Not Started</t>
        </is>
      </c>
    </row>
    <row r="13">
      <c r="B13" s="19">
        <f>COUNTIF(F5:F10,"Done")</f>
        <v/>
      </c>
      <c r="C13" s="20">
        <f>COUNTIF(F5:F10,"In Progress")</f>
        <v/>
      </c>
      <c r="D13" s="21">
        <f>COUNTIF(F5:F10,"Under Review")</f>
        <v/>
      </c>
      <c r="E13" s="22">
        <f>COUNTIF(F5:F10,"Not Started")</f>
        <v/>
      </c>
    </row>
  </sheetData>
  <autoFilter ref="A4:H10"/>
  <mergeCells count="3">
    <mergeCell ref="A3:H3"/>
    <mergeCell ref="A2:H2"/>
    <mergeCell ref="A1:H1"/>
  </mergeCells>
  <dataValidations count="1">
    <dataValidation sqref="F5:F10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18 — Offers, loyalty, referral &amp; wallet</t>
        </is>
      </c>
    </row>
    <row r="2">
      <c r="A2" s="9" t="inlineStr">
        <is>
          <t>Service: platform + payment + booking    |    Priority: P1–P2    |    Overall status: In Progress</t>
        </is>
      </c>
    </row>
    <row r="3" ht="48" customHeight="1">
      <c r="A3" s="10" t="inlineStr">
        <is>
          <t>Coupon apply on quote is real (window, max redemptions, one per user). Admin can create offers. Wallet/loyalty rows are created at signup but earn/redeem/referral are not. P1 = coupons; P2 = wallet/loyalty.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18.01</t>
        </is>
      </c>
      <c r="B5" s="12" t="inlineStr">
        <is>
          <t>Admin offers CRUD (create/list)</t>
        </is>
      </c>
      <c r="C5" s="12" t="inlineStr">
        <is>
          <t>Admin</t>
        </is>
      </c>
      <c r="D5" s="12" t="inlineStr">
        <is>
          <t>GET/POST /v1/admin/offers (PERCENT/FLAT, dates, maxRedemptions). Admin /offers page.</t>
        </is>
      </c>
      <c r="E5" s="12" t="inlineStr">
        <is>
          <t xml:space="preserve"> /v1/admin/offers</t>
        </is>
      </c>
      <c r="F5" s="13" t="inlineStr">
        <is>
          <t>In Progress</t>
        </is>
      </c>
      <c r="G5" s="12" t="inlineStr">
        <is>
          <t>P1</t>
        </is>
      </c>
      <c r="H5" s="12" t="inlineStr">
        <is>
          <t>No PATCH freeze/disable; no city/product/min-days.</t>
        </is>
      </c>
    </row>
    <row r="6" ht="42" customHeight="1">
      <c r="A6" s="14" t="inlineStr">
        <is>
          <t>18.02</t>
        </is>
      </c>
      <c r="B6" s="14" t="inlineStr">
        <is>
          <t>Apply coupon on quote</t>
        </is>
      </c>
      <c r="C6" s="14" t="inlineStr">
        <is>
          <t>Customer</t>
        </is>
      </c>
      <c r="D6" s="14" t="inlineStr">
        <is>
          <t>Checkout can POST apply-offer; booking stores offerId + redemption.</t>
        </is>
      </c>
      <c r="E6" s="14" t="inlineStr">
        <is>
          <t>POST /v1/quotes/:id/apply-offer</t>
        </is>
      </c>
      <c r="F6" s="32" t="inlineStr">
        <is>
          <t>Done</t>
        </is>
      </c>
      <c r="G6" s="14" t="inlineStr">
        <is>
          <t>P1</t>
        </is>
      </c>
      <c r="H6" s="14" t="inlineStr">
        <is>
          <t>No floor price.</t>
        </is>
      </c>
    </row>
    <row r="7" ht="42" customHeight="1">
      <c r="A7" s="12" t="inlineStr">
        <is>
          <t>18.03</t>
        </is>
      </c>
      <c r="B7" s="12" t="inlineStr">
        <is>
          <t>Wallet ledger</t>
        </is>
      </c>
      <c r="C7" s="12" t="inlineStr">
        <is>
          <t>Customer</t>
        </is>
      </c>
      <c r="D7" s="12" t="inlineStr">
        <is>
          <t>Wallet + WalletTxn models; GET wallet. Signup creates zero balance.</t>
        </is>
      </c>
      <c r="E7" s="12" t="inlineStr">
        <is>
          <t>GET /v1/me/wallet · identity upsert</t>
        </is>
      </c>
      <c r="F7" s="13" t="inlineStr">
        <is>
          <t>In Progress</t>
        </is>
      </c>
      <c r="G7" s="12" t="inlineStr">
        <is>
          <t>P2</t>
        </is>
      </c>
      <c r="H7" s="12" t="inlineStr">
        <is>
          <t>No credit/debit/adjust API; cannot pay from wallet.</t>
        </is>
      </c>
    </row>
    <row r="8" ht="42" customHeight="1">
      <c r="A8" s="14" t="inlineStr">
        <is>
          <t>18.04</t>
        </is>
      </c>
      <c r="B8" s="14" t="inlineStr">
        <is>
          <t>Loyalty points</t>
        </is>
      </c>
      <c r="C8" s="14" t="inlineStr">
        <is>
          <t>Customer</t>
        </is>
      </c>
      <c r="D8" s="14" t="inlineStr">
        <is>
          <t>LoyaltyAccount created at signup. No earn on COMPLETED, no /v1/me/loyalty.</t>
        </is>
      </c>
      <c r="E8" s="14" t="inlineStr">
        <is>
          <t>schema LoyaltyAccount</t>
        </is>
      </c>
      <c r="F8" s="15" t="inlineStr">
        <is>
          <t>Not Started</t>
        </is>
      </c>
      <c r="G8" s="14" t="inlineStr">
        <is>
          <t>P2</t>
        </is>
      </c>
      <c r="H8" s="14" t="inlineStr"/>
    </row>
    <row r="9" ht="42" customHeight="1">
      <c r="A9" s="12" t="inlineStr">
        <is>
          <t>18.05</t>
        </is>
      </c>
      <c r="B9" s="12" t="inlineStr">
        <is>
          <t>Referral codes</t>
        </is>
      </c>
      <c r="C9" s="12" t="inlineStr">
        <is>
          <t>Customer</t>
        </is>
      </c>
      <c r="D9" s="12" t="inlineStr">
        <is>
          <t>Referral model. No POST /v1/me/referrals.</t>
        </is>
      </c>
      <c r="E9" s="12" t="inlineStr">
        <is>
          <t>schema Referral</t>
        </is>
      </c>
      <c r="F9" s="15" t="inlineStr">
        <is>
          <t>Not Started</t>
        </is>
      </c>
      <c r="G9" s="12" t="inlineStr">
        <is>
          <t>P2</t>
        </is>
      </c>
      <c r="H9" s="12" t="inlineStr">
        <is>
          <t>Credit after referee COMPLETED.</t>
        </is>
      </c>
    </row>
    <row r="11">
      <c r="A11" s="3" t="inlineStr">
        <is>
          <t>Counts</t>
        </is>
      </c>
      <c r="B11" s="16" t="inlineStr">
        <is>
          <t>Done</t>
        </is>
      </c>
      <c r="C11" s="9" t="inlineStr">
        <is>
          <t>In Progress</t>
        </is>
      </c>
      <c r="D11" s="17" t="inlineStr">
        <is>
          <t>Under Review</t>
        </is>
      </c>
      <c r="E11" s="18" t="inlineStr">
        <is>
          <t>Not Started</t>
        </is>
      </c>
    </row>
    <row r="12">
      <c r="B12" s="19">
        <f>COUNTIF(F5:F9,"Done")</f>
        <v/>
      </c>
      <c r="C12" s="20">
        <f>COUNTIF(F5:F9,"In Progress")</f>
        <v/>
      </c>
      <c r="D12" s="21">
        <f>COUNTIF(F5:F9,"Under Review")</f>
        <v/>
      </c>
      <c r="E12" s="22">
        <f>COUNTIF(F5:F9,"Not Started")</f>
        <v/>
      </c>
    </row>
  </sheetData>
  <autoFilter ref="A4:H9"/>
  <mergeCells count="3">
    <mergeCell ref="A3:H3"/>
    <mergeCell ref="A2:H2"/>
    <mergeCell ref="A1:H1"/>
  </mergeCells>
  <dataValidations count="1">
    <dataValidation sqref="F5:F9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19 — Reviews &amp; customer support desk</t>
        </is>
      </c>
    </row>
    <row r="2">
      <c r="A2" s="9" t="inlineStr">
        <is>
          <t>Service: platform    |    Priority: P2    |    Overall status: In Progress</t>
        </is>
      </c>
    </row>
    <row r="3" ht="48" customHeight="1">
      <c r="A3" s="10" t="inlineStr">
        <is>
          <t>Customers can create a review (unpublished) and a ticket. Admin can list both. No moderate/publish, public car reviews, ticket assign/SLA, or customer ticket UI.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19.01</t>
        </is>
      </c>
      <c r="B5" s="12" t="inlineStr">
        <is>
          <t>Create review</t>
        </is>
      </c>
      <c r="C5" s="12" t="inlineStr">
        <is>
          <t>Customer</t>
        </is>
      </c>
      <c r="D5" s="12" t="inlineStr">
        <is>
          <t>POST /v1/reviews stored published=false.</t>
        </is>
      </c>
      <c r="E5" s="12" t="inlineStr">
        <is>
          <t>POST /v1/reviews</t>
        </is>
      </c>
      <c r="F5" s="13" t="inlineStr">
        <is>
          <t>In Progress</t>
        </is>
      </c>
      <c r="G5" s="12" t="inlineStr">
        <is>
          <t>P2</t>
        </is>
      </c>
      <c r="H5" s="12" t="inlineStr">
        <is>
          <t>No completed-booking or one-per-booking check.</t>
        </is>
      </c>
    </row>
    <row r="6" ht="42" customHeight="1">
      <c r="A6" s="14" t="inlineStr">
        <is>
          <t>19.02</t>
        </is>
      </c>
      <c r="B6" s="14" t="inlineStr">
        <is>
          <t>Admin review list</t>
        </is>
      </c>
      <c r="C6" s="14" t="inlineStr">
        <is>
          <t>Admin</t>
        </is>
      </c>
      <c r="D6" s="14" t="inlineStr">
        <is>
          <t>GET /v1/admin/reviews.</t>
        </is>
      </c>
      <c r="E6" s="14" t="inlineStr">
        <is>
          <t>GET /v1/admin/reviews</t>
        </is>
      </c>
      <c r="F6" s="13" t="inlineStr">
        <is>
          <t>In Progress</t>
        </is>
      </c>
      <c r="G6" s="14" t="inlineStr">
        <is>
          <t>P2</t>
        </is>
      </c>
      <c r="H6" s="14" t="inlineStr">
        <is>
          <t>No publish/hide PATCH; no admin page in Shell.</t>
        </is>
      </c>
    </row>
    <row r="7" ht="42" customHeight="1">
      <c r="A7" s="12" t="inlineStr">
        <is>
          <t>19.03</t>
        </is>
      </c>
      <c r="B7" s="12" t="inlineStr">
        <is>
          <t>Public reviews on car</t>
        </is>
      </c>
      <c r="C7" s="12" t="inlineStr">
        <is>
          <t>Customer</t>
        </is>
      </c>
      <c r="D7" s="12" t="inlineStr">
        <is>
          <t>GET /v1/public/cars/:id/reviews missing.</t>
        </is>
      </c>
      <c r="E7" s="12" t="inlineStr">
        <is>
          <t>—</t>
        </is>
      </c>
      <c r="F7" s="15" t="inlineStr">
        <is>
          <t>Not Started</t>
        </is>
      </c>
      <c r="G7" s="12" t="inlineStr">
        <is>
          <t>P2</t>
        </is>
      </c>
      <c r="H7" s="12" t="inlineStr"/>
    </row>
    <row r="8" ht="42" customHeight="1">
      <c r="A8" s="14" t="inlineStr">
        <is>
          <t>19.04</t>
        </is>
      </c>
      <c r="B8" s="14" t="inlineStr">
        <is>
          <t>Open support ticket</t>
        </is>
      </c>
      <c r="C8" s="14" t="inlineStr">
        <is>
          <t>Customer</t>
        </is>
      </c>
      <c r="D8" s="14" t="inlineStr">
        <is>
          <t>POST /v1/tickets with subject/body/bookingId.</t>
        </is>
      </c>
      <c r="E8" s="14" t="inlineStr">
        <is>
          <t>POST /v1/tickets</t>
        </is>
      </c>
      <c r="F8" s="32" t="inlineStr">
        <is>
          <t>Done</t>
        </is>
      </c>
      <c r="G8" s="14" t="inlineStr">
        <is>
          <t>P2</t>
        </is>
      </c>
      <c r="H8" s="14" t="inlineStr">
        <is>
          <t>No /account/tickets UI.</t>
        </is>
      </c>
    </row>
    <row r="9" ht="42" customHeight="1">
      <c r="A9" s="12" t="inlineStr">
        <is>
          <t>19.05</t>
        </is>
      </c>
      <c r="B9" s="12" t="inlineStr">
        <is>
          <t>Admin ticket queue</t>
        </is>
      </c>
      <c r="C9" s="12" t="inlineStr">
        <is>
          <t>Admin</t>
        </is>
      </c>
      <c r="D9" s="12" t="inlineStr">
        <is>
          <t>GET /v1/admin/tickets includes messages.</t>
        </is>
      </c>
      <c r="E9" s="12" t="inlineStr">
        <is>
          <t>GET /v1/admin/tickets</t>
        </is>
      </c>
      <c r="F9" s="13" t="inlineStr">
        <is>
          <t>In Progress</t>
        </is>
      </c>
      <c r="G9" s="12" t="inlineStr">
        <is>
          <t>P2</t>
        </is>
      </c>
      <c r="H9" s="12" t="inlineStr">
        <is>
          <t>No PATCH assign/status/internal notes/SLA; no Shell link.</t>
        </is>
      </c>
    </row>
    <row r="11">
      <c r="A11" s="3" t="inlineStr">
        <is>
          <t>Counts</t>
        </is>
      </c>
      <c r="B11" s="16" t="inlineStr">
        <is>
          <t>Done</t>
        </is>
      </c>
      <c r="C11" s="9" t="inlineStr">
        <is>
          <t>In Progress</t>
        </is>
      </c>
      <c r="D11" s="17" t="inlineStr">
        <is>
          <t>Under Review</t>
        </is>
      </c>
      <c r="E11" s="18" t="inlineStr">
        <is>
          <t>Not Started</t>
        </is>
      </c>
    </row>
    <row r="12">
      <c r="B12" s="19">
        <f>COUNTIF(F5:F9,"Done")</f>
        <v/>
      </c>
      <c r="C12" s="20">
        <f>COUNTIF(F5:F9,"In Progress")</f>
        <v/>
      </c>
      <c r="D12" s="21">
        <f>COUNTIF(F5:F9,"Under Review")</f>
        <v/>
      </c>
      <c r="E12" s="22">
        <f>COUNTIF(F5:F9,"Not Started")</f>
        <v/>
      </c>
    </row>
  </sheetData>
  <autoFilter ref="A4:H9"/>
  <mergeCells count="3">
    <mergeCell ref="A3:H3"/>
    <mergeCell ref="A2:H2"/>
    <mergeCell ref="A1:H1"/>
  </mergeCells>
  <dataValidations count="1">
    <dataValidation sqref="F5:F9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E07A3D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20 — Notification suite</t>
        </is>
      </c>
    </row>
    <row r="2">
      <c r="A2" s="17" t="inlineStr">
        <is>
          <t>Service: notification + worker    |    Priority: P0    |    Overall status: Under Review</t>
        </is>
      </c>
    </row>
    <row r="3" ht="48" customHeight="1">
      <c r="A3" s="10" t="inlineStr">
        <is>
          <t>Internal notify + templates + logs + retry cron. Gmail OAuth/app-password when env is set; otherwise console mock. OTP and booking_confirmed are wired. SMS/WhatsApp later. Staging review once Gmail env is present.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20.01</t>
        </is>
      </c>
      <c r="B5" s="12" t="inlineStr">
        <is>
          <t>Internal send</t>
        </is>
      </c>
      <c r="C5" s="12" t="inlineStr">
        <is>
          <t>System</t>
        </is>
      </c>
      <c r="D5" s="12" t="inlineStr">
        <is>
          <t>POST /internal/notify renders template {{vars}} and emails or mocks.</t>
        </is>
      </c>
      <c r="E5" s="12" t="inlineStr">
        <is>
          <t>POST /internal/notify · notify.service.ts</t>
        </is>
      </c>
      <c r="F5" s="32" t="inlineStr">
        <is>
          <t>Done</t>
        </is>
      </c>
      <c r="G5" s="12" t="inlineStr">
        <is>
          <t>P0</t>
        </is>
      </c>
      <c r="H5" s="12" t="inlineStr">
        <is>
          <t>HTML is wrapped in &lt;pre&gt;.</t>
        </is>
      </c>
    </row>
    <row r="6" ht="42" customHeight="1">
      <c r="A6" s="14" t="inlineStr">
        <is>
          <t>20.02</t>
        </is>
      </c>
      <c r="B6" s="14" t="inlineStr">
        <is>
          <t>Gmail delivery</t>
        </is>
      </c>
      <c r="C6" s="14" t="inlineStr">
        <is>
          <t>System</t>
        </is>
      </c>
      <c r="D6" s="14" t="inlineStr">
        <is>
          <t>nodemailer Gmail OAuth2 or app password if GMAIL_USER set.</t>
        </is>
      </c>
      <c r="E6" s="14" t="inlineStr">
        <is>
          <t>notify.service.ts deliver</t>
        </is>
      </c>
      <c r="F6" s="31" t="inlineStr">
        <is>
          <t>Under Review</t>
        </is>
      </c>
      <c r="G6" s="14" t="inlineStr">
        <is>
          <t>P0</t>
        </is>
      </c>
      <c r="H6" s="14" t="inlineStr">
        <is>
          <t>Confirm production Gmail OAuth (ported from live backend).</t>
        </is>
      </c>
    </row>
    <row r="7" ht="42" customHeight="1">
      <c r="A7" s="12" t="inlineStr">
        <is>
          <t>20.03</t>
        </is>
      </c>
      <c r="B7" s="12" t="inlineStr">
        <is>
          <t>OTP email</t>
        </is>
      </c>
      <c r="C7" s="12" t="inlineStr">
        <is>
          <t>Customer</t>
        </is>
      </c>
      <c r="D7" s="12" t="inlineStr">
        <is>
          <t>identity sendOtp → template otp. Failures swallowed so login still works in dev.</t>
        </is>
      </c>
      <c r="E7" s="12" t="inlineStr">
        <is>
          <t>POST /v1/auth/otp/send</t>
        </is>
      </c>
      <c r="F7" s="13" t="inlineStr">
        <is>
          <t>In Progress</t>
        </is>
      </c>
      <c r="G7" s="12" t="inlineStr">
        <is>
          <t>P0</t>
        </is>
      </c>
      <c r="H7" s="12" t="inlineStr">
        <is>
          <t>Dev still returns devCode.</t>
        </is>
      </c>
    </row>
    <row r="8" ht="42" customHeight="1">
      <c r="A8" s="14" t="inlineStr">
        <is>
          <t>20.04</t>
        </is>
      </c>
      <c r="B8" s="14" t="inlineStr">
        <is>
          <t>Booking confirmation email</t>
        </is>
      </c>
      <c r="C8" s="14" t="inlineStr">
        <is>
          <t>Customer</t>
        </is>
      </c>
      <c r="D8" s="14" t="inlineStr">
        <is>
          <t>Sent on with-driver CONFIRMED and on agreement-signed.</t>
        </is>
      </c>
      <c r="E8" s="14" t="inlineStr">
        <is>
          <t>booking.service.ts paymentCaptured / agreementSigned</t>
        </is>
      </c>
      <c r="F8" s="13" t="inlineStr">
        <is>
          <t>In Progress</t>
        </is>
      </c>
      <c r="G8" s="14" t="inlineStr">
        <is>
          <t>P0</t>
        </is>
      </c>
      <c r="H8" s="14" t="inlineStr">
        <is>
          <t>Port current HTML template; self-drive confirm only after sign.</t>
        </is>
      </c>
    </row>
    <row r="9" ht="42" customHeight="1">
      <c r="A9" s="12" t="inlineStr">
        <is>
          <t>20.05</t>
        </is>
      </c>
      <c r="B9" s="12" t="inlineStr">
        <is>
          <t>Templates admin</t>
        </is>
      </c>
      <c r="C9" s="12" t="inlineStr">
        <is>
          <t>Admin</t>
        </is>
      </c>
      <c r="D9" s="12" t="inlineStr">
        <is>
          <t>GET list + PUT /v1/admin/notification-templates/:key.</t>
        </is>
      </c>
      <c r="E9" s="12" t="inlineStr">
        <is>
          <t xml:space="preserve"> /v1/admin/notification-templates</t>
        </is>
      </c>
      <c r="F9" s="32" t="inlineStr">
        <is>
          <t>Done</t>
        </is>
      </c>
      <c r="G9" s="12" t="inlineStr">
        <is>
          <t>P1</t>
        </is>
      </c>
      <c r="H9" s="12" t="inlineStr">
        <is>
          <t>No admin UI.</t>
        </is>
      </c>
    </row>
    <row r="10" ht="42" customHeight="1">
      <c r="A10" s="14" t="inlineStr">
        <is>
          <t>20.06</t>
        </is>
      </c>
      <c r="B10" s="14" t="inlineStr">
        <is>
          <t>Delivery log</t>
        </is>
      </c>
      <c r="C10" s="14" t="inlineStr">
        <is>
          <t>Admin</t>
        </is>
      </c>
      <c r="D10" s="14" t="inlineStr">
        <is>
          <t>GET /v1/admin/notifications last 200.</t>
        </is>
      </c>
      <c r="E10" s="14" t="inlineStr">
        <is>
          <t>GET /v1/admin/notifications</t>
        </is>
      </c>
      <c r="F10" s="32" t="inlineStr">
        <is>
          <t>Done</t>
        </is>
      </c>
      <c r="G10" s="14" t="inlineStr">
        <is>
          <t>P1</t>
        </is>
      </c>
      <c r="H10" s="14" t="inlineStr">
        <is>
          <t>PII masking not done.</t>
        </is>
      </c>
    </row>
    <row r="11" ht="42" customHeight="1">
      <c r="A11" s="12" t="inlineStr">
        <is>
          <t>20.07</t>
        </is>
      </c>
      <c r="B11" s="12" t="inlineStr">
        <is>
          <t>Retry failed</t>
        </is>
      </c>
      <c r="C11" s="12" t="inlineStr">
        <is>
          <t>System</t>
        </is>
      </c>
      <c r="D11" s="12" t="inlineStr">
        <is>
          <t>Worker every 5 min → /internal/notify/retry. Retry currently re-sends template key as subject/body.</t>
        </is>
      </c>
      <c r="E11" s="12" t="inlineStr">
        <is>
          <t>NotifyRetryJob</t>
        </is>
      </c>
      <c r="F11" s="13" t="inlineStr">
        <is>
          <t>In Progress</t>
        </is>
      </c>
      <c r="G11" s="12" t="inlineStr">
        <is>
          <t>P1</t>
        </is>
      </c>
      <c r="H11" s="12" t="inlineStr">
        <is>
          <t>Store original body; 3x backoff.</t>
        </is>
      </c>
    </row>
    <row r="12" ht="42" customHeight="1">
      <c r="A12" s="14" t="inlineStr">
        <is>
          <t>20.08</t>
        </is>
      </c>
      <c r="B12" s="14" t="inlineStr">
        <is>
          <t>SMS / WhatsApp</t>
        </is>
      </c>
      <c r="C12" s="14" t="inlineStr">
        <is>
          <t>Customer</t>
        </is>
      </c>
      <c r="D12" s="14" t="inlineStr">
        <is>
          <t>Same template table, channel later.</t>
        </is>
      </c>
      <c r="E12" s="14" t="inlineStr">
        <is>
          <t>—</t>
        </is>
      </c>
      <c r="F12" s="15" t="inlineStr">
        <is>
          <t>Not Started</t>
        </is>
      </c>
      <c r="G12" s="14" t="inlineStr">
        <is>
          <t>P2</t>
        </is>
      </c>
      <c r="H12" s="14" t="inlineStr"/>
    </row>
    <row r="14">
      <c r="A14" s="3" t="inlineStr">
        <is>
          <t>Counts</t>
        </is>
      </c>
      <c r="B14" s="16" t="inlineStr">
        <is>
          <t>Done</t>
        </is>
      </c>
      <c r="C14" s="9" t="inlineStr">
        <is>
          <t>In Progress</t>
        </is>
      </c>
      <c r="D14" s="17" t="inlineStr">
        <is>
          <t>Under Review</t>
        </is>
      </c>
      <c r="E14" s="18" t="inlineStr">
        <is>
          <t>Not Started</t>
        </is>
      </c>
    </row>
    <row r="15">
      <c r="B15" s="19">
        <f>COUNTIF(F5:F12,"Done")</f>
        <v/>
      </c>
      <c r="C15" s="20">
        <f>COUNTIF(F5:F12,"In Progress")</f>
        <v/>
      </c>
      <c r="D15" s="21">
        <f>COUNTIF(F5:F12,"Under Review")</f>
        <v/>
      </c>
      <c r="E15" s="22">
        <f>COUNTIF(F5:F12,"Not Started")</f>
        <v/>
      </c>
    </row>
  </sheetData>
  <autoFilter ref="A4:H12"/>
  <mergeCells count="3">
    <mergeCell ref="A3:H3"/>
    <mergeCell ref="A2:H2"/>
    <mergeCell ref="A1:H1"/>
  </mergeCells>
  <dataValidations count="1">
    <dataValidation sqref="F5:F12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21 — Leads, enquiries &amp; sales CRM</t>
        </is>
      </c>
    </row>
    <row r="2">
      <c r="A2" s="9" t="inlineStr">
        <is>
          <t>Service: platform    |    Priority: P1    |    Overall status: In Progress</t>
        </is>
      </c>
    </row>
    <row r="3" ht="48" customHeight="1">
      <c r="A3" s="10" t="inlineStr">
        <is>
          <t>Contact and public lead APIs + admin pipeline (NEW→LOST) + notes. Convert-to-booking and 7-day dedupe are not built. Admin /leads page exists.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21.01</t>
        </is>
      </c>
      <c r="B5" s="12" t="inlineStr">
        <is>
          <t>Public lead capture</t>
        </is>
      </c>
      <c r="C5" s="12" t="inlineStr">
        <is>
          <t>Customer</t>
        </is>
      </c>
      <c r="D5" s="12" t="inlineStr">
        <is>
          <t>POST /v1/public/leads and contact→lead.</t>
        </is>
      </c>
      <c r="E5" s="12" t="inlineStr">
        <is>
          <t>POST /v1/public/leads · POST /v1/public/contact</t>
        </is>
      </c>
      <c r="F5" s="32" t="inlineStr">
        <is>
          <t>Done</t>
        </is>
      </c>
      <c r="G5" s="12" t="inlineStr">
        <is>
          <t>P1</t>
        </is>
      </c>
      <c r="H5" s="12" t="inlineStr">
        <is>
          <t>Phone-or-email required is not strictly enforced (name only).</t>
        </is>
      </c>
    </row>
    <row r="6" ht="42" customHeight="1">
      <c r="A6" s="14" t="inlineStr">
        <is>
          <t>21.02</t>
        </is>
      </c>
      <c r="B6" s="14" t="inlineStr">
        <is>
          <t>Admin lead list</t>
        </is>
      </c>
      <c r="C6" s="14" t="inlineStr">
        <is>
          <t>Admin</t>
        </is>
      </c>
      <c r="D6" s="14" t="inlineStr">
        <is>
          <t>GET /v1/admin/leads with activities. Admin /leads.</t>
        </is>
      </c>
      <c r="E6" s="14" t="inlineStr">
        <is>
          <t>GET /v1/admin/leads</t>
        </is>
      </c>
      <c r="F6" s="32" t="inlineStr">
        <is>
          <t>Done</t>
        </is>
      </c>
      <c r="G6" s="14" t="inlineStr">
        <is>
          <t>P1</t>
        </is>
      </c>
      <c r="H6" s="14" t="inlineStr"/>
    </row>
    <row r="7" ht="42" customHeight="1">
      <c r="A7" s="12" t="inlineStr">
        <is>
          <t>21.03</t>
        </is>
      </c>
      <c r="B7" s="12" t="inlineStr">
        <is>
          <t>Pipeline status</t>
        </is>
      </c>
      <c r="C7" s="12" t="inlineStr">
        <is>
          <t>Admin</t>
        </is>
      </c>
      <c r="D7" s="12" t="inlineStr">
        <is>
          <t>PATCH /v1/admin/leads/:id status NEW|CONTACTED|QUALIFIED|BOOKED|LOST.</t>
        </is>
      </c>
      <c r="E7" s="12" t="inlineStr">
        <is>
          <t>PATCH /v1/admin/leads/:id</t>
        </is>
      </c>
      <c r="F7" s="32" t="inlineStr">
        <is>
          <t>Done</t>
        </is>
      </c>
      <c r="G7" s="12" t="inlineStr">
        <is>
          <t>P1</t>
        </is>
      </c>
      <c r="H7" s="12" t="inlineStr">
        <is>
          <t>No owner assign / reminders.</t>
        </is>
      </c>
    </row>
    <row r="8" ht="42" customHeight="1">
      <c r="A8" s="14" t="inlineStr">
        <is>
          <t>21.04</t>
        </is>
      </c>
      <c r="B8" s="14" t="inlineStr">
        <is>
          <t>Lead notes</t>
        </is>
      </c>
      <c r="C8" s="14" t="inlineStr">
        <is>
          <t>Admin</t>
        </is>
      </c>
      <c r="D8" s="14" t="inlineStr">
        <is>
          <t>POST /v1/admin/leads/:id/notes.</t>
        </is>
      </c>
      <c r="E8" s="14" t="inlineStr">
        <is>
          <t>POST .../notes</t>
        </is>
      </c>
      <c r="F8" s="32" t="inlineStr">
        <is>
          <t>Done</t>
        </is>
      </c>
      <c r="G8" s="14" t="inlineStr">
        <is>
          <t>P1</t>
        </is>
      </c>
      <c r="H8" s="14" t="inlineStr"/>
    </row>
    <row r="9" ht="42" customHeight="1">
      <c r="A9" s="12" t="inlineStr">
        <is>
          <t>21.05</t>
        </is>
      </c>
      <c r="B9" s="12" t="inlineStr">
        <is>
          <t>Convert lead → quote/booking</t>
        </is>
      </c>
      <c r="C9" s="12" t="inlineStr">
        <is>
          <t>Admin</t>
        </is>
      </c>
      <c r="D9" s="12" t="inlineStr">
        <is>
          <t>POST /v1/admin/leads/:id/convert missing.</t>
        </is>
      </c>
      <c r="E9" s="12" t="inlineStr">
        <is>
          <t>—</t>
        </is>
      </c>
      <c r="F9" s="15" t="inlineStr">
        <is>
          <t>Not Started</t>
        </is>
      </c>
      <c r="G9" s="12" t="inlineStr">
        <is>
          <t>P1</t>
        </is>
      </c>
      <c r="H9" s="12" t="inlineStr">
        <is>
          <t>Prefill city + dates.</t>
        </is>
      </c>
    </row>
    <row r="10" ht="42" customHeight="1">
      <c r="A10" s="14" t="inlineStr">
        <is>
          <t>21.06</t>
        </is>
      </c>
      <c r="B10" s="14" t="inlineStr">
        <is>
          <t>Dedupe 7 days</t>
        </is>
      </c>
      <c r="C10" s="14" t="inlineStr">
        <is>
          <t>Backend</t>
        </is>
      </c>
      <c r="D10" s="14" t="inlineStr">
        <is>
          <t>Not implemented.</t>
        </is>
      </c>
      <c r="E10" s="14" t="inlineStr">
        <is>
          <t>—</t>
        </is>
      </c>
      <c r="F10" s="15" t="inlineStr">
        <is>
          <t>Not Started</t>
        </is>
      </c>
      <c r="G10" s="14" t="inlineStr">
        <is>
          <t>P1</t>
        </is>
      </c>
      <c r="H10" s="14" t="inlineStr">
        <is>
          <t>Match phone+email.</t>
        </is>
      </c>
    </row>
    <row r="11" ht="42" customHeight="1">
      <c r="A11" s="12" t="inlineStr">
        <is>
          <t>21.07</t>
        </is>
      </c>
      <c r="B11" s="12" t="inlineStr">
        <is>
          <t>WhatsApp click as source</t>
        </is>
      </c>
      <c r="C11" s="12" t="inlineStr">
        <is>
          <t>Customer</t>
        </is>
      </c>
      <c r="D11" s="12" t="inlineStr">
        <is>
          <t>Popup exists; not tracked as lead.</t>
        </is>
      </c>
      <c r="E11" s="12" t="inlineStr">
        <is>
          <t>WhatsAppPopup.jsx</t>
        </is>
      </c>
      <c r="F11" s="15" t="inlineStr">
        <is>
          <t>Not Started</t>
        </is>
      </c>
      <c r="G11" s="12" t="inlineStr">
        <is>
          <t>P1</t>
        </is>
      </c>
      <c r="H11" s="12" t="inlineStr"/>
    </row>
    <row r="13">
      <c r="A13" s="3" t="inlineStr">
        <is>
          <t>Counts</t>
        </is>
      </c>
      <c r="B13" s="16" t="inlineStr">
        <is>
          <t>Done</t>
        </is>
      </c>
      <c r="C13" s="9" t="inlineStr">
        <is>
          <t>In Progress</t>
        </is>
      </c>
      <c r="D13" s="17" t="inlineStr">
        <is>
          <t>Under Review</t>
        </is>
      </c>
      <c r="E13" s="18" t="inlineStr">
        <is>
          <t>Not Started</t>
        </is>
      </c>
    </row>
    <row r="14">
      <c r="B14" s="19">
        <f>COUNTIF(F5:F11,"Done")</f>
        <v/>
      </c>
      <c r="C14" s="20">
        <f>COUNTIF(F5:F11,"In Progress")</f>
        <v/>
      </c>
      <c r="D14" s="21">
        <f>COUNTIF(F5:F11,"Under Review")</f>
        <v/>
      </c>
      <c r="E14" s="22">
        <f>COUNTIF(F5:F11,"Not Started")</f>
        <v/>
      </c>
    </row>
  </sheetData>
  <autoFilter ref="A4:H11"/>
  <mergeCells count="3">
    <mergeCell ref="A3:H3"/>
    <mergeCell ref="A2:H2"/>
    <mergeCell ref="A1:H1"/>
  </mergeCells>
  <dataValidations count="1">
    <dataValidation sqref="F5:F11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62" customWidth="1" min="4" max="4"/>
    <col width="48" customWidth="1" min="5" max="5"/>
    <col width="16" customWidth="1" min="6" max="6"/>
    <col width="12" customWidth="1" min="7" max="7"/>
    <col width="48" customWidth="1" min="8" max="8"/>
  </cols>
  <sheetData>
    <row r="1">
      <c r="A1" s="1" t="inlineStr">
        <is>
          <t>22 — Customer mobile app (Expo)</t>
        </is>
      </c>
    </row>
    <row r="2">
      <c r="A2" s="9" t="inlineStr">
        <is>
          <t>Service: apps/mobile    |    Priority: P2    |    Overall status: In Progress</t>
        </is>
      </c>
    </row>
    <row r="3" ht="48" customHeight="1">
      <c r="A3" s="10" t="inlineStr">
        <is>
          <t>Expo package with a single-screen prototype: dev sign-in, public car list, my bookings. No OTP, checkout, Razorpay, KYC, tracking, tickets, or store build. Spec: do not invest until web checkout is stable.</t>
        </is>
      </c>
    </row>
    <row r="4" ht="28" customHeight="1">
      <c r="A4" s="11" t="inlineStr">
        <is>
          <t>ID</t>
        </is>
      </c>
      <c r="B4" s="11" t="inlineStr">
        <is>
          <t>Functionality</t>
        </is>
      </c>
      <c r="C4" s="11" t="inlineStr">
        <is>
          <t>Actor</t>
        </is>
      </c>
      <c r="D4" s="11" t="inlineStr">
        <is>
          <t>Implementation (what exists today)</t>
        </is>
      </c>
      <c r="E4" s="11" t="inlineStr">
        <is>
          <t>Code / API</t>
        </is>
      </c>
      <c r="F4" s="11" t="inlineStr">
        <is>
          <t>Status</t>
        </is>
      </c>
      <c r="G4" s="11" t="inlineStr">
        <is>
          <t>Priority</t>
        </is>
      </c>
      <c r="H4" s="11" t="inlineStr">
        <is>
          <t>Gaps / next work</t>
        </is>
      </c>
    </row>
    <row r="5" ht="42" customHeight="1">
      <c r="A5" s="12" t="inlineStr">
        <is>
          <t>22.01</t>
        </is>
      </c>
      <c r="B5" s="12" t="inlineStr">
        <is>
          <t>Expo app shell</t>
        </is>
      </c>
      <c r="C5" s="12" t="inlineStr">
        <is>
          <t>Customer</t>
        </is>
      </c>
      <c r="D5" s="12" t="inlineStr">
        <is>
          <t>App.tsx SafeArea list + dev:email login + GET search + GET my bookings.</t>
        </is>
      </c>
      <c r="E5" s="12" t="inlineStr">
        <is>
          <t>apps/mobile/App.tsx</t>
        </is>
      </c>
      <c r="F5" s="13" t="inlineStr">
        <is>
          <t>In Progress</t>
        </is>
      </c>
      <c r="G5" s="12" t="inlineStr">
        <is>
          <t>P2</t>
        </is>
      </c>
      <c r="H5" s="12" t="inlineStr">
        <is>
          <t>Not a navigation stack / screens 1–13.</t>
        </is>
      </c>
    </row>
    <row r="6" ht="42" customHeight="1">
      <c r="A6" s="14" t="inlineStr">
        <is>
          <t>22.02</t>
        </is>
      </c>
      <c r="B6" s="14" t="inlineStr">
        <is>
          <t>Login / OTP</t>
        </is>
      </c>
      <c r="C6" s="14" t="inlineStr">
        <is>
          <t>Customer</t>
        </is>
      </c>
      <c r="D6" s="14" t="inlineStr">
        <is>
          <t>Uses Bearer dev:email only.</t>
        </is>
      </c>
      <c r="E6" s="14" t="inlineStr">
        <is>
          <t>App.tsx</t>
        </is>
      </c>
      <c r="F6" s="15" t="inlineStr">
        <is>
          <t>Not Started</t>
        </is>
      </c>
      <c r="G6" s="14" t="inlineStr">
        <is>
          <t>P2</t>
        </is>
      </c>
      <c r="H6" s="14" t="inlineStr">
        <is>
          <t>Firebase Auth + OTP.</t>
        </is>
      </c>
    </row>
    <row r="7" ht="42" customHeight="1">
      <c r="A7" s="12" t="inlineStr">
        <is>
          <t>22.03</t>
        </is>
      </c>
      <c r="B7" s="12" t="inlineStr">
        <is>
          <t>Search / detail / checkout / pay</t>
        </is>
      </c>
      <c r="C7" s="12" t="inlineStr">
        <is>
          <t>Customer</t>
        </is>
      </c>
      <c r="D7" s="12" t="inlineStr">
        <is>
          <t>Cars listed read-only; no quote/checkout/Razorpay.</t>
        </is>
      </c>
      <c r="E7" s="12" t="inlineStr">
        <is>
          <t>—</t>
        </is>
      </c>
      <c r="F7" s="15" t="inlineStr">
        <is>
          <t>Not Started</t>
        </is>
      </c>
      <c r="G7" s="12" t="inlineStr">
        <is>
          <t>P2</t>
        </is>
      </c>
      <c r="H7" s="12" t="inlineStr">
        <is>
          <t>Reuse /v1/*.</t>
        </is>
      </c>
    </row>
    <row r="8" ht="42" customHeight="1">
      <c r="A8" s="14" t="inlineStr">
        <is>
          <t>22.04</t>
        </is>
      </c>
      <c r="B8" s="14" t="inlineStr">
        <is>
          <t>KYC + Leegality + track</t>
        </is>
      </c>
      <c r="C8" s="14" t="inlineStr">
        <is>
          <t>Customer</t>
        </is>
      </c>
      <c r="D8" s="14" t="inlineStr">
        <is>
          <t>Not built.</t>
        </is>
      </c>
      <c r="E8" s="14" t="inlineStr">
        <is>
          <t>—</t>
        </is>
      </c>
      <c r="F8" s="15" t="inlineStr">
        <is>
          <t>Not Started</t>
        </is>
      </c>
      <c r="G8" s="14" t="inlineStr">
        <is>
          <t>P2</t>
        </is>
      </c>
      <c r="H8" s="14" t="inlineStr"/>
    </row>
    <row r="9" ht="42" customHeight="1">
      <c r="A9" s="12" t="inlineStr">
        <is>
          <t>22.05</t>
        </is>
      </c>
      <c r="B9" s="12" t="inlineStr">
        <is>
          <t>Push device token</t>
        </is>
      </c>
      <c r="C9" s="12" t="inlineStr">
        <is>
          <t>Customer</t>
        </is>
      </c>
      <c r="D9" s="12" t="inlineStr">
        <is>
          <t>API POST /v1/me/devices ready; app unused.</t>
        </is>
      </c>
      <c r="E9" s="12" t="inlineStr">
        <is>
          <t>POST /v1/me/devices</t>
        </is>
      </c>
      <c r="F9" s="15" t="inlineStr">
        <is>
          <t>Not Started</t>
        </is>
      </c>
      <c r="G9" s="12" t="inlineStr">
        <is>
          <t>P2</t>
        </is>
      </c>
      <c r="H9" s="12" t="inlineStr">
        <is>
          <t>FCM.</t>
        </is>
      </c>
    </row>
    <row r="10" ht="42" customHeight="1">
      <c r="A10" s="14" t="inlineStr">
        <is>
          <t>22.06</t>
        </is>
      </c>
      <c r="B10" s="14" t="inlineStr">
        <is>
          <t>Store release (Play/App Store)</t>
        </is>
      </c>
      <c r="C10" s="14" t="inlineStr">
        <is>
          <t>Ops</t>
        </is>
      </c>
      <c r="D10" s="14" t="inlineStr">
        <is>
          <t>No EAS config / force-update.</t>
        </is>
      </c>
      <c r="E10" s="14" t="inlineStr">
        <is>
          <t>apps/mobile/package.json</t>
        </is>
      </c>
      <c r="F10" s="15" t="inlineStr">
        <is>
          <t>Not Started</t>
        </is>
      </c>
      <c r="G10" s="14" t="inlineStr">
        <is>
          <t>P2</t>
        </is>
      </c>
      <c r="H10" s="14" t="inlineStr">
        <is>
          <t>After web path is stable.</t>
        </is>
      </c>
    </row>
    <row r="12">
      <c r="A12" s="3" t="inlineStr">
        <is>
          <t>Counts</t>
        </is>
      </c>
      <c r="B12" s="16" t="inlineStr">
        <is>
          <t>Done</t>
        </is>
      </c>
      <c r="C12" s="9" t="inlineStr">
        <is>
          <t>In Progress</t>
        </is>
      </c>
      <c r="D12" s="17" t="inlineStr">
        <is>
          <t>Under Review</t>
        </is>
      </c>
      <c r="E12" s="18" t="inlineStr">
        <is>
          <t>Not Started</t>
        </is>
      </c>
    </row>
    <row r="13">
      <c r="B13" s="19">
        <f>COUNTIF(F5:F10,"Done")</f>
        <v/>
      </c>
      <c r="C13" s="20">
        <f>COUNTIF(F5:F10,"In Progress")</f>
        <v/>
      </c>
      <c r="D13" s="21">
        <f>COUNTIF(F5:F10,"Under Review")</f>
        <v/>
      </c>
      <c r="E13" s="22">
        <f>COUNTIF(F5:F10,"Not Started")</f>
        <v/>
      </c>
    </row>
  </sheetData>
  <autoFilter ref="A4:H10"/>
  <mergeCells count="3">
    <mergeCell ref="A3:H3"/>
    <mergeCell ref="A2:H2"/>
    <mergeCell ref="A1:H1"/>
  </mergeCells>
  <dataValidations count="1">
    <dataValidation sqref="F5:F10" showDropDown="0" showInputMessage="0" showErrorMessage="0" allowBlank="0" errorTitle="Invalid status" error="Pick Done, In Progress, Under Review, or Not Started" prompt="Status" type="list">
      <formula1>"Done,In Progress,Under Review,Not Started"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2026-08-30T22:15:51Z</dcterms:created>
  <dcterms:modified xsi:type="dcterms:W3CDTF">2026-08-30T22:15:51Z</dcterms:modified>
</cp:coreProperties>
</file>